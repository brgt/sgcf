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Executivo" sheetId="1" state="visible" r:id="rId3"/>
    <sheet name="Visão DRE" sheetId="2" state="visible" r:id="rId4"/>
    <sheet name="Notas Metodológicas" sheetId="3" state="visible" r:id="rId5"/>
    <sheet name="Cálculo BB" sheetId="4" state="visible" r:id="rId6"/>
    <sheet name="Cálculo Itaú" sheetId="5" state="visible" r:id="rId7"/>
    <sheet name="Cálculo Santander" sheetId="6" state="visible" r:id="rId8"/>
    <sheet name="Entendendo o CE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<sst xmlns="http://schemas.openxmlformats.org/spreadsheetml/2006/main" count="272" uniqueCount="195">
  <si>
    <t xml:space="preserve">ANÁLISE COMPARATIVA - 3 OPERAÇÕES FINIMP</t>
  </si>
  <si>
    <t xml:space="preserve">Custo financeiro puro (sem spread cambial). Foco: BB Tóquio × Santander Luxemburgo.</t>
  </si>
  <si>
    <t xml:space="preserve">Análise sem spread cambial - depende da oscilação do dólar no momento da operação. A comparação válida é BB Tóquio × Santander Luxemburgo (FINIMP puros). Itaú aparece como referência (estrutura híbrida com NDF altera comparabilidade).</t>
  </si>
  <si>
    <t xml:space="preserve">Componente</t>
  </si>
  <si>
    <t xml:space="preserve">BB Tóquio (R$)</t>
  </si>
  <si>
    <t xml:space="preserve">Itaú (ref.)</t>
  </si>
  <si>
    <t xml:space="preserve">Santander Lux (R$)</t>
  </si>
  <si>
    <t xml:space="preserve">Comentário</t>
  </si>
  <si>
    <t xml:space="preserve">Juros nominais brutos</t>
  </si>
  <si>
    <t xml:space="preserve">BB: 5,88% | Itaú: 4,89% | Santander: 6,08%</t>
  </si>
  <si>
    <t xml:space="preserve">IRRF gross-up sobre juros</t>
  </si>
  <si>
    <t xml:space="preserve">BB: 15% Tóquio | Itaú: 25% Nassau | Santander: 25% Lux</t>
  </si>
  <si>
    <t xml:space="preserve">Comissão garantia (SBLC/CPG)</t>
  </si>
  <si>
    <t xml:space="preserve">Itaú: SBLC 0,77% | Santander: CPG 0,40%</t>
  </si>
  <si>
    <t xml:space="preserve">IOF câmbio (entrada + saídas)</t>
  </si>
  <si>
    <t xml:space="preserve">0,38% sobre conversões cambiais</t>
  </si>
  <si>
    <t xml:space="preserve">(+) Receita Financeira CDB cativo (líquida de IRRF 22,5%)</t>
  </si>
  <si>
    <t xml:space="preserve">CDB rende 100% do CDI - reduz custo líquido</t>
  </si>
  <si>
    <t xml:space="preserve">Custos cartoriais e fees fixos</t>
  </si>
  <si>
    <t xml:space="preserve">Santander tem ROF + CADEMP</t>
  </si>
  <si>
    <t xml:space="preserve">CUSTO TOTAL DA OPERAÇÃO (R$)</t>
  </si>
  <si>
    <t xml:space="preserve">Custo total como % do principal (180 dias)</t>
  </si>
  <si>
    <t xml:space="preserve">Custo equivalente linear a.a.</t>
  </si>
  <si>
    <t xml:space="preserve">Multiplicação direta por 360/180 (proporcional)</t>
  </si>
  <si>
    <t xml:space="preserve">CET equivalente a.a. (composto)</t>
  </si>
  <si>
    <t xml:space="preserve">Capitalização composta - é maior que o linear</t>
  </si>
  <si>
    <t xml:space="preserve">COMPARAÇÃO DIRETA: BB TÓQUIO × SANTANDER LUXEMBURGO</t>
  </si>
  <si>
    <t xml:space="preserve">BB Tóquio</t>
  </si>
  <si>
    <t xml:space="preserve">Santander Lux</t>
  </si>
  <si>
    <t xml:space="preserve">Δ (Sant - BB)</t>
  </si>
  <si>
    <t xml:space="preserve">CUSTO TOTAL</t>
  </si>
  <si>
    <t xml:space="preserve">VISÃO DRE - SEPARAÇÃO RECEITA × DESPESA FINANCEIRA</t>
  </si>
  <si>
    <t xml:space="preserve">Visão contábil: a receita do CDB cativo é separada da despesa do FINIMP. O CDB rende 100% do CDI (não gera custo de oportunidade líquido), apenas movimenta linhas distintas da DRE: Receita Financeira (rendimento CDB) vs. Despesa Financeira (custos do FINIMP).</t>
  </si>
  <si>
    <t xml:space="preserve">PREMISSAS AUXILIARES</t>
  </si>
  <si>
    <t xml:space="preserve">Valor da operação (R$)</t>
  </si>
  <si>
    <t xml:space="preserve">Prazo (dias)</t>
  </si>
  <si>
    <t xml:space="preserve">% do principal em CDB cativo</t>
  </si>
  <si>
    <t xml:space="preserve">Taxa CDI a.a.</t>
  </si>
  <si>
    <t xml:space="preserve">% do CDI rendido pelo CDB</t>
  </si>
  <si>
    <t xml:space="preserve">Base (dias/ano)</t>
  </si>
  <si>
    <t xml:space="preserve">IRRF sobre aplicação CDB (180d → 22,5%)</t>
  </si>
  <si>
    <t xml:space="preserve">DRE SIMPLIFICADA DA OPERAÇÃO</t>
  </si>
  <si>
    <t xml:space="preserve">Linha</t>
  </si>
  <si>
    <t xml:space="preserve">(+) RECEITA FINANCEIRA</t>
  </si>
  <si>
    <t xml:space="preserve">   Rendimento bruto do CDB cativo (CDI a.a. × prazo / base)</t>
  </si>
  <si>
    <t xml:space="preserve">R$ 300k × 14,75% × 180/360</t>
  </si>
  <si>
    <t xml:space="preserve">(-) IRRF sobre rendimento da aplicação (22,5% para 180d)</t>
  </si>
  <si>
    <t xml:space="preserve">Tabela regressiva IRRF aplicações financeiras</t>
  </si>
  <si>
    <t xml:space="preserve">(=) RECEITA FINANCEIRA LÍQUIDA</t>
  </si>
  <si>
    <t xml:space="preserve">(-) DESPESA FINANCEIRA</t>
  </si>
  <si>
    <t xml:space="preserve">   Juros nominais (FINIMP)</t>
  </si>
  <si>
    <t xml:space="preserve">Saldo × taxa × prazo / 360</t>
  </si>
  <si>
    <t xml:space="preserve">   IRRF gross-up sobre juros remetidos</t>
  </si>
  <si>
    <t xml:space="preserve">BB: 15% (Tóquio) | Itaú: 25% (Nassau) | Santander: 25% (Lux)</t>
  </si>
  <si>
    <t xml:space="preserve">   Comissão de garantia (SBLC/CPG)</t>
  </si>
  <si>
    <t xml:space="preserve">   IOF câmbio (entrada + saída)</t>
  </si>
  <si>
    <t xml:space="preserve">0,38% sobre conversões</t>
  </si>
  <si>
    <t xml:space="preserve">   Tarifas e fees fixos</t>
  </si>
  <si>
    <t xml:space="preserve">Cartórios, ROF, CADEMP</t>
  </si>
  <si>
    <t xml:space="preserve">(=) DESPESA FINANCEIRA TOTAL</t>
  </si>
  <si>
    <t xml:space="preserve">(=) RESULTADO FINANCEIRO LÍQUIDO</t>
  </si>
  <si>
    <t xml:space="preserve">Resultado financeiro como % do principal (180d)</t>
  </si>
  <si>
    <t xml:space="preserve">Custo financeiro líquido equivalente a.a. (linear)</t>
  </si>
  <si>
    <t xml:space="preserve">COMPARAÇÃO DIRETA: BB × SANTANDER (Resultado Financeiro Líquido)</t>
  </si>
  <si>
    <t xml:space="preserve">Resultado financeiro líquido (R$, 180 dias)</t>
  </si>
  <si>
    <t xml:space="preserve">NOTAS METODOLÓGICAS</t>
  </si>
  <si>
    <t xml:space="preserve">1. ESCOPO E LIMITAÇÕES</t>
  </si>
  <si>
    <t xml:space="preserve">• A análise comparativa parte de uma operação NOMINAL de R$ 1.000.000, ainda que os contratos originais tenham sido firmados em CNY (BB) e USD (Itaú). Para fins de comparação, assumimos que ambos pagariam principal em moeda estrangeira equivalente a R$ 1MM na data do desembolso.</t>
  </si>
  <si>
    <t xml:space="preserve">• A análise utiliza os dados REAIS dos dois contratos FINIMP. O contrato Itaú é com a FILIAL NASSAU (Bahamas), entidade no exterior considerada paraíso fiscal pela Receita Federal (IN RFB 1.037/2010), o que justifica a alíquota de IRRF de 25% (vs. 15% do BB Tóquio).</t>
  </si>
  <si>
    <t xml:space="preserve">2. METODOLOGIA DE CÁLCULO DO CET</t>
  </si>
  <si>
    <t xml:space="preserve">O Custo Efetivo Total (CET) é composto pela soma de:</t>
  </si>
  <si>
    <t xml:space="preserve">  (a) Juros nominais sobre o saldo devedor — base 360 dias, calculado pro rata diária</t>
  </si>
  <si>
    <t xml:space="preserve">  (b) Tributos federais — IRRF sobre juros remetidos ao exterior (apenas BB Tóquio) e IOF câmbio</t>
  </si>
  <si>
    <t xml:space="preserve">  (c) Custos cambiais — spread bid/ask aplicado nas conversões R$↔ME (entrada e saídas)</t>
  </si>
  <si>
    <t xml:space="preserve">  (d) Custo de oportunidade — apenas Itaú (CDB cativo dado em garantia rende menos que aplicação livre)</t>
  </si>
  <si>
    <t xml:space="preserve">  (e) Fees fixos — cartório, registro, taxa de abertura, etc.</t>
  </si>
  <si>
    <t xml:space="preserve">3. PARTICULARIDADES TRIBUTÁRIAS DO BB TÓQUIO</t>
  </si>
  <si>
    <t xml:space="preserve">• Como o financiador é a agência do BB no Japão (entidade no exterior), os juros remetidos sofrem IRRF de 15% (ou 25% se houvesse paraíso fiscal). A Cláusula Quinta, Parágrafo Primeiro do contrato estabelece GROSS-UP — o financiado deve ajustar o valor para que o BANCO receba o valor integral, tornando o IRRF um CUSTO ADICIONAL relevante (~17,6% sobre os juros líquidos).</t>
  </si>
  <si>
    <t xml:space="preserve">• IOF câmbio: aplica-se nas conversões cambiais. Para FINIMP a alíquota é 0,38% (alíquota geral). Possíveis alíquotas reduzidas devem ser confirmadas com a área fiscal/jurídica.</t>
  </si>
  <si>
    <t xml:space="preserve">4. PARTICULARIDADES DO ITAÚ</t>
  </si>
  <si>
    <t xml:space="preserve">• Como o financiador é instituição doméstica brasileira, NÃO há IRRF sobre os juros (fato relevante que reduz o custo final em relação ao BB Tóquio).</t>
  </si>
  <si>
    <t xml:space="preserve">• Há, entretanto, CUSTO DE OPORTUNIDADE relevante: o CDB de R$ 235.007,57 dado em cessão fiduciária fica BLOQUEADO até liquidação total da dívida (Anexo I). Ainda que o CDB renda algo, normalmente paga abaixo do CDI, gerando perda em relação à melhor aplicação alternativa.</t>
  </si>
  <si>
    <t xml:space="preserve">• A Razão da Garantia é 30% do saldo devedor — o CDB representa ~30,5% do valor garantido (USD 145.966 × 5,2729 = R$ 769.667). Para uma operação de R$ 1MM, a exigência proporcional seria de aproximadamente R$ 305.000 em garantia — premissa adotada nas estimativas.</t>
  </si>
  <si>
    <t xml:space="preserve">5. RISCOS CONTRATUAIS RELEVANTES (NÃO PRECIFICADOS)</t>
  </si>
  <si>
    <t xml:space="preserve">• BB - CLÁUSULA MARKET FLEX (Cláusula Décima): permite ao banco renegociar termos do contrato em caso de mudanças de mercado, alteração da SELIC, aumento do risco-país em 100bps, alta volatilidade cambial, etc. ALTO RISCO de aumento de custo durante a operação.</t>
  </si>
  <si>
    <t xml:space="preserve">• BB - BREAK FUNDING FEE: 1% flat sobre o valor antecipado em caso de pré-pagamento (Cláusula 12).</t>
  </si>
  <si>
    <t xml:space="preserve">• BB - JUROS MORATÓRIOS: 2% multa + taxa contratual + 1% a.a. em caso de inadimplência.</t>
  </si>
  <si>
    <t xml:space="preserve">• Itaú - REFORÇO DE GARANTIA: se o saldo do CDB ficar abaixo de 30% do saldo devedor (variação cambial pode causar isso), há obrigação de reforço em 5 dias úteis sob pena de vencimento antecipado.</t>
  </si>
  <si>
    <t xml:space="preserve">6. RISCO CAMBIAL (NÃO PRECIFICADO NO MODELO)</t>
  </si>
  <si>
    <t xml:space="preserve">• Ambas operações têm RISCO CAMBIAL não hedge no contrato. Variações de USD (Itaú) ou CNY (BB) podem aumentar ou reduzir significativamente o custo em reais. Para análise completa, recomenda-se considerar cenários de stress cambial ou contratar NDF/swap para hedge.</t>
  </si>
  <si>
    <t xml:space="preserve">• O prazo MAIOR do BB (540 dias vs. 271 do Itaú) implica EXPOSIÇÃO CAMBIAL DOBRADA, o que é um risco qualitativo relevante.</t>
  </si>
  <si>
    <t xml:space="preserve">7. PREMISSAS QUE DEVEM SER VALIDADAS</t>
  </si>
  <si>
    <t xml:space="preserve">• Taxa de juros real do FINIMP Itaú (CPGI 327382.69011) - URGENTE</t>
  </si>
  <si>
    <t xml:space="preserve">• Tarifa de contratação real do Itaú (Cláusula 11) - consultar Tabela de Tarifas vigente</t>
  </si>
  <si>
    <t xml:space="preserve">• Fees e tarifas adicionais cobrados por cada banco (não disponíveis nos contratos)</t>
  </si>
  <si>
    <t xml:space="preserve">• Spread cambial real obtido em cada operação (pode variar 0,5% a 3%)</t>
  </si>
  <si>
    <t xml:space="preserve">• Alíquota efetiva de IOF câmbio aplicável (pode haver alíquotas reduzidas para FINIMP em alguns casos)</t>
  </si>
  <si>
    <t xml:space="preserve">CÁLCULO DETALHADO - FINIMP BB TÓQUIO (180 dias bullet, sem spread cambial)</t>
  </si>
  <si>
    <t xml:space="preserve">Análise de custo financeiro puro (juros + IRRF + IOF + CDB cativo + fees). Spread cambial REMOVIDO da análise pois depende da oscilação do dólar no momento da operação.</t>
  </si>
  <si>
    <t xml:space="preserve">PREMISSAS DA OPERAÇÃO</t>
  </si>
  <si>
    <t xml:space="preserve">Operação base</t>
  </si>
  <si>
    <t xml:space="preserve">Cenário ajustado: 180 dias</t>
  </si>
  <si>
    <t xml:space="preserve">Taxa de juros nominal a.a.</t>
  </si>
  <si>
    <t xml:space="preserve">Cláusula Quarta - 5,879% a.a.</t>
  </si>
  <si>
    <t xml:space="preserve">Base de cálculo (dias/ano)</t>
  </si>
  <si>
    <t xml:space="preserve">Cláusula Quarta - ano de 360 dias</t>
  </si>
  <si>
    <t xml:space="preserve">Estrutura</t>
  </si>
  <si>
    <t xml:space="preserve">Bullet único</t>
  </si>
  <si>
    <t xml:space="preserve">Cenário ajustado</t>
  </si>
  <si>
    <t xml:space="preserve">IRRF sobre juros remetidos a Tóquio</t>
  </si>
  <si>
    <t xml:space="preserve">Acordo Brasil-Japão de bitributação</t>
  </si>
  <si>
    <t xml:space="preserve">IOF câmbio (cada remessa)</t>
  </si>
  <si>
    <t xml:space="preserve">Alíquota geral 0,38%</t>
  </si>
  <si>
    <t xml:space="preserve">Cash Collateral (CDB cativo) - % do principal</t>
  </si>
  <si>
    <t xml:space="preserve">Premissa: 30% (informado pelo usuário)</t>
  </si>
  <si>
    <t xml:space="preserve">Taxa CDI (custo de oportunidade)</t>
  </si>
  <si>
    <t xml:space="preserve">Premissa - SELIC/CDI atual</t>
  </si>
  <si>
    <t xml:space="preserve">Spread sobre CDI do CDB cativo</t>
  </si>
  <si>
    <t xml:space="preserve">CDB rende 100% do CDI (informado)</t>
  </si>
  <si>
    <t xml:space="preserve">Estimativa de mercado</t>
  </si>
  <si>
    <t xml:space="preserve">CÁLCULO DOS JUROS (BULLET ÚNICO)</t>
  </si>
  <si>
    <t xml:space="preserve">Juros nominais (saldo × taxa × prazo / 360)</t>
  </si>
  <si>
    <t xml:space="preserve">COMPOSIÇÃO DO CUSTO EFETIVO TOTAL (R$)</t>
  </si>
  <si>
    <t xml:space="preserve">Juros nominais</t>
  </si>
  <si>
    <t xml:space="preserve">IRRF gross-up sobre juros (15%)</t>
  </si>
  <si>
    <t xml:space="preserve">IOF câmbio (0,38% entrada + saída)</t>
  </si>
  <si>
    <t xml:space="preserve">Custo de oportunidade CDB cativo (30%)</t>
  </si>
  <si>
    <t xml:space="preserve">Custos cartoriais e fees</t>
  </si>
  <si>
    <t xml:space="preserve">CUSTO EFETIVO TOTAL (R$)</t>
  </si>
  <si>
    <t xml:space="preserve">Custo total como % do principal</t>
  </si>
  <si>
    <t xml:space="preserve">CET equivalente a.a. (anualizado composto)</t>
  </si>
  <si>
    <t xml:space="preserve">CÁLCULO DETALHADO - FINIMP ITAÚ NASSAU (180 dias, sem spread cambial)</t>
  </si>
  <si>
    <t xml:space="preserve">Itaú usa estrutura híbrida com NDF (parte do custo cambial é alocado no derivativo). Spread cambial removido. Análise apresenta apenas o FINIMP "puro" - usar como referência.</t>
  </si>
  <si>
    <t xml:space="preserve">Quadro V - Taxa fixa de 4,890400% a.a.</t>
  </si>
  <si>
    <t xml:space="preserve">Cláusula Encargos §1º</t>
  </si>
  <si>
    <t xml:space="preserve">Quadro VIII</t>
  </si>
  <si>
    <t xml:space="preserve">IRRF sobre juros remetidos a Nassau</t>
  </si>
  <si>
    <t xml:space="preserve">Quadro V - 25% Nassau</t>
  </si>
  <si>
    <t xml:space="preserve">Comissão SBLC a.a.</t>
  </si>
  <si>
    <t xml:space="preserve">Quadro XIV - 0,7749% a.a.</t>
  </si>
  <si>
    <t xml:space="preserve">Cessão fiduciária CDB</t>
  </si>
  <si>
    <t xml:space="preserve">Premissa</t>
  </si>
  <si>
    <t xml:space="preserve">Tarifa de contratação (estimada)</t>
  </si>
  <si>
    <t xml:space="preserve">Cláusula 11</t>
  </si>
  <si>
    <t xml:space="preserve">CÁLCULO DOS JUROS E COMISSÕES (BULLET ÚNICO)</t>
  </si>
  <si>
    <t xml:space="preserve">Comissão SBLC</t>
  </si>
  <si>
    <t xml:space="preserve">IRRF gross-up sobre juros (25%)</t>
  </si>
  <si>
    <t xml:space="preserve">Tarifa de contratação</t>
  </si>
  <si>
    <t xml:space="preserve">CÁLCULO DETALHADO - FINIMP SANTANDER LUXEMBURGO (180 dias, sem spread cambial)</t>
  </si>
  <si>
    <t xml:space="preserve">Cotação real Santander para FINIMP Direto USD. Taxa All-In 8,50% a.a. = 6,08% juros + 2,03% IR + 0,40% CPG. Spread cambial REMOVIDO (depende da oscilação do dólar no momento da operação).</t>
  </si>
  <si>
    <t xml:space="preserve">Cenário</t>
  </si>
  <si>
    <t xml:space="preserve">Cotação Santander - 6,08% a.a.</t>
  </si>
  <si>
    <t xml:space="preserve">Padrão de mercado</t>
  </si>
  <si>
    <t xml:space="preserve">Cronograma da cotação</t>
  </si>
  <si>
    <t xml:space="preserve">IRRF sobre juros remetidos a Luxemburgo</t>
  </si>
  <si>
    <t xml:space="preserve">Cotação - 2,03% / 6,08% × prazo = 25% gross-up</t>
  </si>
  <si>
    <t xml:space="preserve">CPG (Comissão de Permanência de Garantia) a.a.</t>
  </si>
  <si>
    <t xml:space="preserve">Cotação - 0,40% a.a.</t>
  </si>
  <si>
    <t xml:space="preserve">Alíquota geral</t>
  </si>
  <si>
    <t xml:space="preserve">Premissa: 30% (alinhado com BB e Itaú)</t>
  </si>
  <si>
    <t xml:space="preserve">Tarifa ROF + CADEMP</t>
  </si>
  <si>
    <t xml:space="preserve">Cotação - R$ 2.000 + R$ 500</t>
  </si>
  <si>
    <t xml:space="preserve">CPG</t>
  </si>
  <si>
    <t xml:space="preserve">Juros nominais (6,08% a.a.)</t>
  </si>
  <si>
    <t xml:space="preserve">CPG (Comissão de Permanência de Garantia)</t>
  </si>
  <si>
    <t xml:space="preserve">POR QUE O CET ANUALIZADO PARECE ALTO?</t>
  </si>
  <si>
    <t xml:space="preserve">A diferença entre "custo no semestre" e "CET anualizado" vem da matemática da capitalização composta. Esta aba decompõe e explica.</t>
  </si>
  <si>
    <t xml:space="preserve">1. DECOMPOSIÇÃO DOS COMPONENTES (BB Tóquio - 180 dias)</t>
  </si>
  <si>
    <t xml:space="preserve">Custo no semestre (R$)</t>
  </si>
  <si>
    <t xml:space="preserve">% Principal (180d)</t>
  </si>
  <si>
    <t xml:space="preserve">Linear a.a.</t>
  </si>
  <si>
    <t xml:space="preserve">Composto a.a.</t>
  </si>
  <si>
    <t xml:space="preserve">Por que</t>
  </si>
  <si>
    <t xml:space="preserve">Juros nominais (5,879% × 180/360)</t>
  </si>
  <si>
    <t xml:space="preserve">IOF câmbio (0,38% sobre 2 conversões)</t>
  </si>
  <si>
    <t xml:space="preserve">CDB cativo 30% × (CDI 10,75% - 0,5%) × 180/360</t>
  </si>
  <si>
    <t xml:space="preserve">TOTAL</t>
  </si>
  <si>
    <t xml:space="preserve">2. POR QUE O CET COMPOSTO É MAIOR QUE O LINEAR?</t>
  </si>
  <si>
    <t xml:space="preserve">Imagine que o custo no semestre é 5,92% (BB sem spread cambial). Para anualizar, há duas formas:</t>
  </si>
  <si>
    <t xml:space="preserve">  LINEAR (taxa proporcional):  5,92% × (360/180) = 11,84% a.a.</t>
  </si>
  <si>
    <t xml:space="preserve">  COMPOSTO (juros sobre juros): (1 + 5,92%)^(360/180) - 1 = 12,19% a.a.</t>
  </si>
  <si>
    <t xml:space="preserve">O composto assume que se você fizesse a operação 2 vezes seguidas (semestre + semestre), os juros do segundo semestre incidiriam sobre o saldo após pagamento do primeiro - como uma renovação. A diferença pequena (0,35 p.p.) é o "juros sobre juros".</t>
  </si>
  <si>
    <t xml:space="preserve">Para FINIMP de prazo fixo (sem renovação automática), o CUSTO LINEAR é a métrica mais honesta - representa o custo proporcional anualizado.</t>
  </si>
  <si>
    <t xml:space="preserve">3. POR QUE O 5,92% NO SEMESTRE PARECE ALTO?</t>
  </si>
  <si>
    <t xml:space="preserve">   Olhe a coluna "% Principal (180d)" da tabela acima. Cada componente sozinho é pequeno, mas SOMADO chega a 5,92%:</t>
  </si>
  <si>
    <t xml:space="preserve">   - Juros: 2,94% (= 5,879%/2)</t>
  </si>
  <si>
    <t xml:space="preserve">   - IRRF: 0,52% (gross-up dos juros)</t>
  </si>
  <si>
    <t xml:space="preserve">   - IOF: 0,77% (entrada + saída)</t>
  </si>
  <si>
    <t xml:space="preserve">   - CDB cativo: 1,54% (oportunidade de R$ 300k bloqueados)</t>
  </si>
  <si>
    <t xml:space="preserve">   - Fees: 0,15%</t>
  </si>
  <si>
    <t xml:space="preserve">   O grande "vilão" é o CDB CATIVO de 30%: ele sozinho custa 1,54% no semestre = 3,08% a.a. linear. É um custo de oportunidade real (você poderia ter R$ 300 mil rendendo CDI livre).</t>
  </si>
  <si>
    <t xml:space="preserve">4. SE NÃO HOUVESSE CDB CATIVO, QUANTO SERIA?</t>
  </si>
  <si>
    <t xml:space="preserve">   Sem o CDB: 5,92% - 1,54% = 4,38% no semestre = 8,76% a.a. linear. Bem menor.</t>
  </si>
  <si>
    <t xml:space="preserve">5. RECOMENDAÇÃO</t>
  </si>
  <si>
    <t xml:space="preserve">   Use o "Custo equivalente LINEAR a.a." para comparar com outros instrumentos (CDI, SELIC, capital próprio). É mais intuitivo e justo para operações com prazo definido. O "CET composto" é mais útil para comparar com investimentos que efetivamente capitalizam (CDB, LFT, fundos).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</si>
</sst>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&quot;R$ &quot;#,##0.00;&quot;(R$ &quot;#,##0.00\);\-"/>
    <numFmt numFmtId="166" formatCode="&quot;R$ &quot;#,##0.00;&quot;(R$ &quot;#,##0.00\);\-"/>
    <numFmt numFmtId="167" formatCode="&quot;R$ &quot;#,##0.00"/>
    <numFmt numFmtId="168" formatCode="0.00%"/>
    <numFmt numFmtId="169" formatCode="&quot;R$ &quot;#,##0.00"/>
    <numFmt numFmtId="170" formatCode="0"/>
    <numFmt numFmtId="171" formatCode="0.0%"/>
    <numFmt numFmtId="172" formatCode="0.000%"/>
    <numFmt numFmtId="173" formatCode="0.00%;\(0.00%\);\-"/>
    <numFmt numFmtId="174" formatCode="@"/>
    <numFmt numFmtId="175" formatCode="0.000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1"/>
      <color rgb="FF1F3864"/>
      <name val="Arial"/>
      <family val="0"/>
      <charset val="1"/>
    </font>
    <font>
      <i val="true"/>
      <sz val="10"/>
      <color rgb="FF0061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9"/>
      <color rgb="FF008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BFBFBF"/>
        <bgColor rgb="FFCCCCCC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D9E2F3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5" min="3" style="1" width="18"/>
    <col collapsed="false" customWidth="true" hidden="false" outlineLevel="0" max="6" min="6" style="1" width="36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</row>
    <row r="5" customFormat="false" ht="21.75" hidden="false" customHeight="true" outlineLevel="0" collapsed="false">
      <c r="B5" s="4" t="s">
        <v>2</v>
      </c>
      <c r="C5" s="4"/>
      <c r="D5" s="4"/>
      <c r="E5" s="4"/>
      <c r="F5" s="4"/>
    </row>
    <row r="6" customFormat="false" ht="21.75" hidden="false" customHeight="true" outlineLevel="0" collapsed="false">
      <c r="B6" s="4"/>
      <c r="C6" s="4"/>
      <c r="D6" s="4"/>
      <c r="E6" s="4"/>
      <c r="F6" s="4"/>
    </row>
    <row r="8" customFormat="false" ht="26.25" hidden="false" customHeight="true" outlineLevel="0" collapsed="false">
      <c r="B8" s="5" t="s">
        <v>3</v>
      </c>
      <c r="C8" s="5" t="s">
        <v>4</v>
      </c>
      <c r="D8" s="6" t="s">
        <v>5</v>
      </c>
      <c r="E8" s="5" t="s">
        <v>6</v>
      </c>
      <c r="F8" s="5" t="s">
        <v>7</v>
      </c>
    </row>
    <row r="9" customFormat="false" ht="15" hidden="false" customHeight="true" outlineLevel="0" collapsed="false">
      <c r="B9" s="7" t="s">
        <v>8</v>
      </c>
      <c r="C9" s="8" t="n">
        <f aca="false">'Cálculo BB'!E23</f>
        <v>29395</v>
      </c>
      <c r="D9" s="9" t="n">
        <f aca="false">'Cálculo Itaú'!E25</f>
        <v>24452</v>
      </c>
      <c r="E9" s="8" t="n">
        <f aca="false">'Cálculo Santander'!E25</f>
        <v>30400</v>
      </c>
      <c r="F9" s="10" t="s">
        <v>9</v>
      </c>
    </row>
    <row r="10" customFormat="false" ht="21.75" hidden="false" customHeight="true" outlineLevel="0" collapsed="false">
      <c r="B10" s="7" t="s">
        <v>10</v>
      </c>
      <c r="C10" s="8" t="n">
        <f aca="false">'Cálculo BB'!E24</f>
        <v>5187.35294117647</v>
      </c>
      <c r="D10" s="9" t="n">
        <f aca="false">'Cálculo Itaú'!E26</f>
        <v>8150.66666666667</v>
      </c>
      <c r="E10" s="8" t="n">
        <f aca="false">'Cálculo Santander'!E26</f>
        <v>10133.3333333333</v>
      </c>
      <c r="F10" s="10" t="s">
        <v>11</v>
      </c>
    </row>
    <row r="11" customFormat="false" ht="15" hidden="false" customHeight="true" outlineLevel="0" collapsed="false">
      <c r="B11" s="7" t="s">
        <v>12</v>
      </c>
      <c r="C11" s="8" t="n">
        <v>0</v>
      </c>
      <c r="D11" s="9" t="n">
        <f aca="false">'Cálculo Itaú'!E27</f>
        <v>3874.5</v>
      </c>
      <c r="E11" s="8" t="n">
        <f aca="false">'Cálculo Santander'!E27</f>
        <v>2000</v>
      </c>
      <c r="F11" s="10" t="s">
        <v>13</v>
      </c>
    </row>
    <row r="12" customFormat="false" ht="15" hidden="false" customHeight="true" outlineLevel="0" collapsed="false">
      <c r="B12" s="7" t="s">
        <v>14</v>
      </c>
      <c r="C12" s="8" t="n">
        <f aca="false">'Cálculo BB'!E25</f>
        <v>7731.41294117647</v>
      </c>
      <c r="D12" s="9" t="n">
        <f aca="false">'Cálculo Itaú'!E28</f>
        <v>7738.61323333333</v>
      </c>
      <c r="E12" s="8" t="n">
        <f aca="false">'Cálculo Santander'!E28</f>
        <v>7754.02666666667</v>
      </c>
      <c r="F12" s="10" t="s">
        <v>15</v>
      </c>
    </row>
    <row r="13" customFormat="false" ht="15" hidden="false" customHeight="true" outlineLevel="0" collapsed="false">
      <c r="B13" s="7" t="s">
        <v>16</v>
      </c>
      <c r="C13" s="11" t="n">
        <f aca="false">-(1000000*0.3*0.1475*180/360)*(1-0.225)</f>
        <v>-17146.875</v>
      </c>
      <c r="D13" s="12" t="n">
        <f aca="false">-(1000000*0.3*0.1475*180/360)*(1-0.225)</f>
        <v>-17146.875</v>
      </c>
      <c r="E13" s="11" t="n">
        <f aca="false">-(1000000*0.3*0.1475*180/360)*(1-0.225)</f>
        <v>-17146.875</v>
      </c>
      <c r="F13" s="10" t="s">
        <v>17</v>
      </c>
    </row>
    <row r="14" customFormat="false" ht="15" hidden="false" customHeight="true" outlineLevel="0" collapsed="false">
      <c r="B14" s="7" t="s">
        <v>18</v>
      </c>
      <c r="C14" s="8" t="n">
        <f aca="false">'Cálculo BB'!E27</f>
        <v>1500</v>
      </c>
      <c r="D14" s="9" t="n">
        <f aca="false">'Cálculo Itaú'!E30</f>
        <v>1500</v>
      </c>
      <c r="E14" s="8" t="n">
        <f aca="false">'Cálculo Santander'!E30</f>
        <v>2500</v>
      </c>
      <c r="F14" s="10" t="s">
        <v>19</v>
      </c>
    </row>
    <row r="15" customFormat="false" ht="26.25" hidden="false" customHeight="true" outlineLevel="0" collapsed="false">
      <c r="B15" s="13" t="s">
        <v>20</v>
      </c>
      <c r="C15" s="14" t="n">
        <f aca="false">SUM(C9:C14)</f>
        <v>26666.8908823529</v>
      </c>
      <c r="D15" s="14" t="n">
        <f aca="false">SUM(D9:D14)</f>
        <v>28568.9049</v>
      </c>
      <c r="E15" s="14" t="n">
        <f aca="false">SUM(E9:E14)</f>
        <v>35640.485</v>
      </c>
    </row>
    <row r="17" customFormat="false" ht="15" hidden="false" customHeight="true" outlineLevel="0" collapsed="false">
      <c r="B17" s="15" t="s">
        <v>21</v>
      </c>
      <c r="C17" s="16" t="n">
        <f aca="false">C15/1000000</f>
        <v>0.0266668908823529</v>
      </c>
      <c r="D17" s="16" t="n">
        <f aca="false">D15/1000000</f>
        <v>0.0285689049</v>
      </c>
      <c r="E17" s="16" t="n">
        <f aca="false">E15/1000000</f>
        <v>0.035640485</v>
      </c>
    </row>
    <row r="18" customFormat="false" ht="15" hidden="false" customHeight="true" outlineLevel="0" collapsed="false">
      <c r="B18" s="15" t="s">
        <v>22</v>
      </c>
      <c r="C18" s="16" t="n">
        <f aca="false">C17*360/180</f>
        <v>0.0533337817647059</v>
      </c>
      <c r="D18" s="16" t="n">
        <f aca="false">D17*360/180</f>
        <v>0.0571378098</v>
      </c>
      <c r="E18" s="16" t="n">
        <f aca="false">E17*360/180</f>
        <v>0.07128097</v>
      </c>
      <c r="F18" s="17" t="s">
        <v>23</v>
      </c>
    </row>
    <row r="19" customFormat="false" ht="15" hidden="false" customHeight="true" outlineLevel="0" collapsed="false">
      <c r="B19" s="15" t="s">
        <v>24</v>
      </c>
      <c r="C19" s="16" t="n">
        <f aca="false">(1+C17)^(360/180)-1</f>
        <v>0.054044904834037</v>
      </c>
      <c r="D19" s="16" t="n">
        <f aca="false">(1+D17)^(360/180)-1</f>
        <v>0.0579539921271852</v>
      </c>
      <c r="E19" s="16" t="n">
        <f aca="false">(1+E17)^(360/180)-1</f>
        <v>0.0725512141710354</v>
      </c>
      <c r="F19" s="17" t="s">
        <v>25</v>
      </c>
    </row>
    <row r="22" customFormat="false" ht="24" hidden="false" customHeight="true" outlineLevel="0" collapsed="false">
      <c r="B22" s="2" t="s">
        <v>26</v>
      </c>
      <c r="C22" s="2"/>
      <c r="D22" s="2"/>
      <c r="E22" s="2"/>
      <c r="F22" s="2"/>
    </row>
    <row r="23" customFormat="false" ht="15" hidden="false" customHeight="true" outlineLevel="0" collapsed="false">
      <c r="B23" s="5" t="s">
        <v>3</v>
      </c>
      <c r="C23" s="5" t="s">
        <v>27</v>
      </c>
      <c r="D23" s="5" t="s">
        <v>28</v>
      </c>
      <c r="E23" s="5" t="s">
        <v>29</v>
      </c>
      <c r="F23" s="5" t="s">
        <v>7</v>
      </c>
    </row>
    <row r="24" customFormat="false" ht="15" hidden="false" customHeight="true" outlineLevel="0" collapsed="false">
      <c r="B24" s="7" t="s">
        <v>8</v>
      </c>
      <c r="C24" s="8" t="n">
        <f aca="false">C9</f>
        <v>29395</v>
      </c>
      <c r="D24" s="8" t="n">
        <f aca="false">E9</f>
        <v>30400</v>
      </c>
      <c r="E24" s="18" t="n">
        <f aca="false">E9-C9</f>
        <v>1005</v>
      </c>
      <c r="F24" s="10" t="s">
        <v>9</v>
      </c>
    </row>
    <row r="25" customFormat="false" ht="21.75" hidden="false" customHeight="true" outlineLevel="0" collapsed="false">
      <c r="B25" s="7" t="s">
        <v>10</v>
      </c>
      <c r="C25" s="8" t="n">
        <f aca="false">C10</f>
        <v>5187.35294117647</v>
      </c>
      <c r="D25" s="8" t="n">
        <f aca="false">E10</f>
        <v>10133.3333333333</v>
      </c>
      <c r="E25" s="18" t="n">
        <f aca="false">E10-C10</f>
        <v>4945.98039215686</v>
      </c>
      <c r="F25" s="10" t="s">
        <v>11</v>
      </c>
    </row>
    <row r="26" customFormat="false" ht="15" hidden="false" customHeight="true" outlineLevel="0" collapsed="false">
      <c r="B26" s="7" t="s">
        <v>12</v>
      </c>
      <c r="C26" s="8" t="n">
        <f aca="false">C11</f>
        <v>0</v>
      </c>
      <c r="D26" s="8" t="n">
        <f aca="false">E11</f>
        <v>2000</v>
      </c>
      <c r="E26" s="18" t="n">
        <f aca="false">E11-C11</f>
        <v>2000</v>
      </c>
      <c r="F26" s="10" t="s">
        <v>13</v>
      </c>
    </row>
    <row r="27" customFormat="false" ht="15" hidden="false" customHeight="true" outlineLevel="0" collapsed="false">
      <c r="B27" s="7" t="s">
        <v>14</v>
      </c>
      <c r="C27" s="8" t="n">
        <f aca="false">C12</f>
        <v>7731.41294117647</v>
      </c>
      <c r="D27" s="8" t="n">
        <f aca="false">E12</f>
        <v>7754.02666666667</v>
      </c>
      <c r="E27" s="18" t="n">
        <f aca="false">E12-C12</f>
        <v>22.613725490196</v>
      </c>
      <c r="F27" s="10" t="s">
        <v>15</v>
      </c>
    </row>
    <row r="28" customFormat="false" ht="15" hidden="false" customHeight="true" outlineLevel="0" collapsed="false">
      <c r="B28" s="7" t="s">
        <v>16</v>
      </c>
      <c r="C28" s="11" t="n">
        <f aca="false">-(1000000*0.3*0.1475*180/360)*(1-0.225)</f>
        <v>-17146.875</v>
      </c>
      <c r="D28" s="11" t="n">
        <f aca="false">-(1000000*0.3*0.1475*180/360)*(1-0.225)</f>
        <v>-17146.875</v>
      </c>
      <c r="E28" s="11" t="n">
        <f aca="false">-(1000000*0.3*0.1475*180/360)*(1-0.225)</f>
        <v>-17146.875</v>
      </c>
      <c r="F28" s="10" t="s">
        <v>17</v>
      </c>
    </row>
    <row r="29" customFormat="false" ht="15" hidden="false" customHeight="true" outlineLevel="0" collapsed="false">
      <c r="B29" s="7" t="s">
        <v>18</v>
      </c>
      <c r="C29" s="8" t="n">
        <f aca="false">C14</f>
        <v>1500</v>
      </c>
      <c r="D29" s="8" t="n">
        <f aca="false">E14</f>
        <v>2500</v>
      </c>
      <c r="E29" s="18" t="n">
        <f aca="false">E14-C14</f>
        <v>1000</v>
      </c>
      <c r="F29" s="10" t="s">
        <v>19</v>
      </c>
    </row>
    <row r="30" customFormat="false" ht="15" hidden="false" customHeight="true" outlineLevel="0" collapsed="false">
      <c r="B30" s="19" t="s">
        <v>30</v>
      </c>
      <c r="C30" s="14" t="n">
        <f aca="false">C15</f>
        <v>26666.8908823529</v>
      </c>
      <c r="D30" s="14" t="n">
        <f aca="false">E15</f>
        <v>35640.485</v>
      </c>
      <c r="E30" s="14" t="n">
        <f aca="false">E15-C15</f>
        <v>8973.59411764706</v>
      </c>
    </row>
  </sheetData>
  <mergeCells count="4">
    <mergeCell ref="B2:F2"/>
    <mergeCell ref="B3:F3"/>
    <mergeCell ref="B5:F6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8"/>
    <col collapsed="false" customWidth="true" hidden="false" outlineLevel="0" max="6" min="3" style="0" width="18"/>
    <col collapsed="false" customWidth="true" hidden="false" outlineLevel="0" max="7" min="7" style="0" width="36"/>
  </cols>
  <sheetData>
    <row r="2" customFormat="false" ht="27.75" hidden="false" customHeight="true" outlineLevel="0" collapsed="false">
      <c r="B2" s="2" t="s">
        <v>31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20" t="s">
        <v>32</v>
      </c>
      <c r="C3" s="20"/>
      <c r="D3" s="20"/>
      <c r="E3" s="20"/>
      <c r="F3" s="20"/>
      <c r="G3" s="20"/>
    </row>
    <row r="4" customFormat="false" ht="15" hidden="false" customHeight="false" outlineLevel="0" collapsed="false">
      <c r="B4" s="20"/>
      <c r="C4" s="20"/>
      <c r="D4" s="20"/>
      <c r="E4" s="20"/>
      <c r="F4" s="20"/>
      <c r="G4" s="20"/>
    </row>
    <row r="6" customFormat="false" ht="15" hidden="false" customHeight="false" outlineLevel="0" collapsed="false">
      <c r="B6" s="21" t="s">
        <v>33</v>
      </c>
      <c r="C6" s="21"/>
      <c r="D6" s="21"/>
      <c r="E6" s="21"/>
      <c r="F6" s="21"/>
      <c r="G6" s="21"/>
    </row>
    <row r="7" customFormat="false" ht="15" hidden="false" customHeight="false" outlineLevel="0" collapsed="false">
      <c r="B7" s="22" t="s">
        <v>34</v>
      </c>
      <c r="C7" s="23" t="n">
        <v>1000000</v>
      </c>
    </row>
    <row r="8" customFormat="false" ht="15" hidden="false" customHeight="false" outlineLevel="0" collapsed="false">
      <c r="B8" s="22" t="s">
        <v>35</v>
      </c>
      <c r="C8" s="24" t="n">
        <v>180</v>
      </c>
    </row>
    <row r="9" customFormat="false" ht="15" hidden="false" customHeight="false" outlineLevel="0" collapsed="false">
      <c r="B9" s="22" t="s">
        <v>36</v>
      </c>
      <c r="C9" s="25" t="n">
        <v>0.3</v>
      </c>
    </row>
    <row r="10" customFormat="false" ht="15" hidden="false" customHeight="false" outlineLevel="0" collapsed="false">
      <c r="B10" s="22" t="s">
        <v>37</v>
      </c>
      <c r="C10" s="26" t="n">
        <v>0.1475</v>
      </c>
    </row>
    <row r="11" customFormat="false" ht="15" hidden="false" customHeight="false" outlineLevel="0" collapsed="false">
      <c r="B11" s="22" t="s">
        <v>38</v>
      </c>
      <c r="C11" s="25" t="n">
        <v>1</v>
      </c>
    </row>
    <row r="12" customFormat="false" ht="15" hidden="false" customHeight="false" outlineLevel="0" collapsed="false">
      <c r="B12" s="22" t="s">
        <v>39</v>
      </c>
      <c r="C12" s="24" t="n">
        <v>360</v>
      </c>
    </row>
    <row r="13" customFormat="false" ht="15" hidden="false" customHeight="false" outlineLevel="0" collapsed="false">
      <c r="B13" s="22" t="s">
        <v>40</v>
      </c>
      <c r="C13" s="25" t="n">
        <v>0.225</v>
      </c>
    </row>
    <row r="16" customFormat="false" ht="15" hidden="false" customHeight="false" outlineLevel="0" collapsed="false">
      <c r="B16" s="21" t="s">
        <v>41</v>
      </c>
      <c r="C16" s="21"/>
      <c r="D16" s="21"/>
      <c r="E16" s="21"/>
      <c r="F16" s="21"/>
      <c r="G16" s="21"/>
    </row>
    <row r="17" customFormat="false" ht="15" hidden="false" customHeight="true" outlineLevel="0" collapsed="false">
      <c r="B17" s="5" t="s">
        <v>42</v>
      </c>
      <c r="C17" s="5" t="s">
        <v>27</v>
      </c>
      <c r="D17" s="5" t="s">
        <v>5</v>
      </c>
      <c r="E17" s="5" t="s">
        <v>28</v>
      </c>
      <c r="F17" s="5" t="s">
        <v>7</v>
      </c>
      <c r="G17" s="5"/>
    </row>
    <row r="18" customFormat="false" ht="15" hidden="false" customHeight="false" outlineLevel="0" collapsed="false">
      <c r="B18" s="27" t="s">
        <v>43</v>
      </c>
      <c r="C18" s="27"/>
      <c r="D18" s="27"/>
      <c r="E18" s="27"/>
      <c r="F18" s="27"/>
      <c r="G18" s="27"/>
    </row>
    <row r="19" customFormat="false" ht="15" hidden="false" customHeight="false" outlineLevel="0" collapsed="false">
      <c r="B19" s="28" t="s">
        <v>44</v>
      </c>
      <c r="C19" s="29" t="n">
        <f aca="false">C7*C9*C10*C11*C8/C12</f>
        <v>22125</v>
      </c>
      <c r="D19" s="29" t="n">
        <f aca="false">C7*C9*C10*C11*C8/C12</f>
        <v>22125</v>
      </c>
      <c r="E19" s="29" t="n">
        <f aca="false">C7*C9*C10*C11*C8/C12</f>
        <v>22125</v>
      </c>
      <c r="F19" s="30" t="s">
        <v>45</v>
      </c>
      <c r="G19" s="30"/>
    </row>
    <row r="20" customFormat="false" ht="15" hidden="false" customHeight="false" outlineLevel="0" collapsed="false">
      <c r="B20" s="28" t="s">
        <v>46</v>
      </c>
      <c r="C20" s="31" t="n">
        <f aca="false">-C19*C13</f>
        <v>-4978.125</v>
      </c>
      <c r="D20" s="31" t="n">
        <f aca="false">-D19*C13</f>
        <v>-4978.125</v>
      </c>
      <c r="E20" s="31" t="n">
        <f aca="false">-E19*C13</f>
        <v>-4978.125</v>
      </c>
      <c r="F20" s="30" t="s">
        <v>47</v>
      </c>
      <c r="G20" s="30"/>
    </row>
    <row r="21" customFormat="false" ht="15" hidden="false" customHeight="false" outlineLevel="0" collapsed="false">
      <c r="B21" s="32" t="s">
        <v>48</v>
      </c>
      <c r="C21" s="33" t="n">
        <f aca="false">C19+C20</f>
        <v>17146.875</v>
      </c>
      <c r="D21" s="33" t="n">
        <f aca="false">D19+D20</f>
        <v>17146.875</v>
      </c>
      <c r="E21" s="33" t="n">
        <f aca="false">E19+E20</f>
        <v>17146.875</v>
      </c>
    </row>
    <row r="23" customFormat="false" ht="15" hidden="false" customHeight="false" outlineLevel="0" collapsed="false">
      <c r="B23" s="34" t="s">
        <v>49</v>
      </c>
      <c r="C23" s="34"/>
      <c r="D23" s="34"/>
      <c r="E23" s="34"/>
      <c r="F23" s="34"/>
      <c r="G23" s="34"/>
    </row>
    <row r="24" customFormat="false" ht="15" hidden="false" customHeight="false" outlineLevel="0" collapsed="false">
      <c r="B24" s="28" t="s">
        <v>50</v>
      </c>
      <c r="C24" s="31" t="n">
        <f aca="false">-'Cálculo BB'!E23</f>
        <v>-29395</v>
      </c>
      <c r="D24" s="31" t="n">
        <f aca="false">-'Cálculo Itaú'!E25</f>
        <v>-24452</v>
      </c>
      <c r="E24" s="31" t="n">
        <f aca="false">-'Cálculo Santander'!E25</f>
        <v>-30400</v>
      </c>
      <c r="F24" s="30" t="s">
        <v>51</v>
      </c>
      <c r="G24" s="30"/>
    </row>
    <row r="25" customFormat="false" ht="15" hidden="false" customHeight="false" outlineLevel="0" collapsed="false">
      <c r="B25" s="28" t="s">
        <v>52</v>
      </c>
      <c r="C25" s="31" t="n">
        <f aca="false">-'Cálculo BB'!E24</f>
        <v>-5187.35294117647</v>
      </c>
      <c r="D25" s="31" t="n">
        <f aca="false">-'Cálculo Itaú'!E26</f>
        <v>-8150.66666666667</v>
      </c>
      <c r="E25" s="31" t="n">
        <f aca="false">-'Cálculo Santander'!E26</f>
        <v>-10133.3333333333</v>
      </c>
      <c r="F25" s="30" t="s">
        <v>53</v>
      </c>
      <c r="G25" s="30"/>
    </row>
    <row r="26" customFormat="false" ht="15" hidden="false" customHeight="false" outlineLevel="0" collapsed="false">
      <c r="B26" s="28" t="s">
        <v>54</v>
      </c>
      <c r="C26" s="31" t="n">
        <v>0</v>
      </c>
      <c r="D26" s="31" t="n">
        <f aca="false">-'Cálculo Itaú'!E27</f>
        <v>-3874.5</v>
      </c>
      <c r="E26" s="31" t="n">
        <f aca="false">-'Cálculo Santander'!E27</f>
        <v>-2000</v>
      </c>
      <c r="F26" s="30" t="s">
        <v>13</v>
      </c>
      <c r="G26" s="30"/>
    </row>
    <row r="27" customFormat="false" ht="15" hidden="false" customHeight="false" outlineLevel="0" collapsed="false">
      <c r="B27" s="28" t="s">
        <v>55</v>
      </c>
      <c r="C27" s="31" t="n">
        <f aca="false">-'Cálculo BB'!E25</f>
        <v>-7731.41294117647</v>
      </c>
      <c r="D27" s="31" t="n">
        <f aca="false">-'Cálculo Itaú'!E28</f>
        <v>-7738.61323333333</v>
      </c>
      <c r="E27" s="31" t="n">
        <f aca="false">-'Cálculo Santander'!E28</f>
        <v>-7754.02666666667</v>
      </c>
      <c r="F27" s="30" t="s">
        <v>56</v>
      </c>
      <c r="G27" s="30"/>
    </row>
    <row r="28" customFormat="false" ht="15" hidden="false" customHeight="false" outlineLevel="0" collapsed="false">
      <c r="B28" s="28" t="s">
        <v>57</v>
      </c>
      <c r="C28" s="31" t="n">
        <f aca="false">-'Cálculo BB'!E27</f>
        <v>-1500</v>
      </c>
      <c r="D28" s="31" t="n">
        <f aca="false">-'Cálculo Itaú'!E30</f>
        <v>-1500</v>
      </c>
      <c r="E28" s="31" t="n">
        <f aca="false">-'Cálculo Santander'!E30</f>
        <v>-2500</v>
      </c>
      <c r="F28" s="30" t="s">
        <v>58</v>
      </c>
      <c r="G28" s="30"/>
    </row>
    <row r="29" customFormat="false" ht="15" hidden="false" customHeight="false" outlineLevel="0" collapsed="false">
      <c r="B29" s="35" t="s">
        <v>59</v>
      </c>
      <c r="C29" s="36" t="n">
        <f aca="false">SUM(C24:C28)</f>
        <v>-43813.7658823529</v>
      </c>
      <c r="D29" s="36" t="n">
        <f aca="false">SUM(D24:D28)</f>
        <v>-45715.7799</v>
      </c>
      <c r="E29" s="36" t="n">
        <f aca="false">SUM(E24:E28)</f>
        <v>-52787.36</v>
      </c>
    </row>
    <row r="31" customFormat="false" ht="15" hidden="false" customHeight="false" outlineLevel="0" collapsed="false">
      <c r="B31" s="37" t="s">
        <v>60</v>
      </c>
      <c r="C31" s="38" t="n">
        <f aca="false">C21+C29</f>
        <v>-26666.8908823529</v>
      </c>
      <c r="D31" s="38" t="n">
        <f aca="false">D21+D29</f>
        <v>-28568.9049</v>
      </c>
      <c r="E31" s="38" t="n">
        <f aca="false">E21+E29</f>
        <v>-35640.485</v>
      </c>
    </row>
    <row r="33" customFormat="false" ht="15" hidden="false" customHeight="false" outlineLevel="0" collapsed="false">
      <c r="B33" s="39" t="s">
        <v>61</v>
      </c>
      <c r="C33" s="40" t="n">
        <f aca="false">C31/C7</f>
        <v>-0.0266668908823529</v>
      </c>
      <c r="D33" s="40" t="n">
        <f aca="false">D31/C7</f>
        <v>-0.0285689049</v>
      </c>
      <c r="E33" s="40" t="n">
        <f aca="false">E31/C7</f>
        <v>-0.035640485</v>
      </c>
    </row>
    <row r="34" customFormat="false" ht="15" hidden="false" customHeight="false" outlineLevel="0" collapsed="false">
      <c r="B34" s="39" t="s">
        <v>62</v>
      </c>
      <c r="C34" s="40" t="n">
        <f aca="false">C33*C12/C8</f>
        <v>-0.0533337817647059</v>
      </c>
      <c r="D34" s="40" t="n">
        <f aca="false">D33*C12/C8</f>
        <v>-0.0571378098</v>
      </c>
      <c r="E34" s="40" t="n">
        <f aca="false">E33*C12/C8</f>
        <v>-0.07128097</v>
      </c>
    </row>
    <row r="37" customFormat="false" ht="21.75" hidden="false" customHeight="true" outlineLevel="0" collapsed="false">
      <c r="B37" s="2" t="s">
        <v>63</v>
      </c>
      <c r="C37" s="2"/>
      <c r="D37" s="2"/>
      <c r="E37" s="2"/>
      <c r="F37" s="2"/>
      <c r="G37" s="2"/>
    </row>
    <row r="38" customFormat="false" ht="15" hidden="false" customHeight="false" outlineLevel="0" collapsed="false">
      <c r="B38" s="41" t="s">
        <v>64</v>
      </c>
      <c r="C38" s="42" t="n">
        <f aca="false">C31</f>
        <v>-26666.8908823529</v>
      </c>
      <c r="D38" s="43" t="s">
        <v>29</v>
      </c>
      <c r="E38" s="42" t="n">
        <f aca="false">E31</f>
        <v>-35640.485</v>
      </c>
      <c r="F38" s="44" t="n">
        <f aca="false">C38-E38</f>
        <v>8973.59411764706</v>
      </c>
    </row>
  </sheetData>
  <mergeCells count="15">
    <mergeCell ref="B2:G2"/>
    <mergeCell ref="B3:G4"/>
    <mergeCell ref="B6:G6"/>
    <mergeCell ref="B16:G16"/>
    <mergeCell ref="F17:G17"/>
    <mergeCell ref="B18:G18"/>
    <mergeCell ref="F19:G19"/>
    <mergeCell ref="F20:G20"/>
    <mergeCell ref="B23:G23"/>
    <mergeCell ref="F24:G24"/>
    <mergeCell ref="F25:G25"/>
    <mergeCell ref="F26:G26"/>
    <mergeCell ref="F27:G27"/>
    <mergeCell ref="F28:G28"/>
    <mergeCell ref="B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0"/>
  </cols>
  <sheetData>
    <row r="2" customFormat="false" ht="25.5" hidden="false" customHeight="true" outlineLevel="0" collapsed="false">
      <c r="B2" s="45" t="s">
        <v>65</v>
      </c>
    </row>
    <row r="4" customFormat="false" ht="21.75" hidden="false" customHeight="true" outlineLevel="0" collapsed="false">
      <c r="B4" s="46" t="s">
        <v>66</v>
      </c>
    </row>
    <row r="5" customFormat="false" ht="30" hidden="false" customHeight="true" outlineLevel="0" collapsed="false">
      <c r="B5" s="47" t="s">
        <v>67</v>
      </c>
    </row>
    <row r="6" customFormat="false" ht="30" hidden="false" customHeight="true" outlineLevel="0" collapsed="false">
      <c r="B6" s="47" t="s">
        <v>68</v>
      </c>
    </row>
    <row r="7" customFormat="false" ht="7.5" hidden="false" customHeight="true" outlineLevel="0" collapsed="false"/>
    <row r="8" customFormat="false" ht="21.75" hidden="false" customHeight="true" outlineLevel="0" collapsed="false">
      <c r="B8" s="46" t="s">
        <v>69</v>
      </c>
    </row>
    <row r="9" customFormat="false" ht="30" hidden="false" customHeight="true" outlineLevel="0" collapsed="false">
      <c r="B9" s="47" t="s">
        <v>70</v>
      </c>
    </row>
    <row r="10" customFormat="false" ht="30" hidden="false" customHeight="true" outlineLevel="0" collapsed="false">
      <c r="B10" s="47" t="s">
        <v>71</v>
      </c>
    </row>
    <row r="11" customFormat="false" ht="30" hidden="false" customHeight="true" outlineLevel="0" collapsed="false">
      <c r="B11" s="47" t="s">
        <v>72</v>
      </c>
    </row>
    <row r="12" customFormat="false" ht="30" hidden="false" customHeight="true" outlineLevel="0" collapsed="false">
      <c r="B12" s="47" t="s">
        <v>73</v>
      </c>
    </row>
    <row r="13" customFormat="false" ht="30" hidden="false" customHeight="true" outlineLevel="0" collapsed="false">
      <c r="B13" s="47" t="s">
        <v>74</v>
      </c>
    </row>
    <row r="14" customFormat="false" ht="30" hidden="false" customHeight="true" outlineLevel="0" collapsed="false">
      <c r="B14" s="47" t="s">
        <v>75</v>
      </c>
    </row>
    <row r="15" customFormat="false" ht="7.5" hidden="false" customHeight="true" outlineLevel="0" collapsed="false"/>
    <row r="16" customFormat="false" ht="21.75" hidden="false" customHeight="true" outlineLevel="0" collapsed="false">
      <c r="B16" s="46" t="s">
        <v>76</v>
      </c>
    </row>
    <row r="17" customFormat="false" ht="30" hidden="false" customHeight="true" outlineLevel="0" collapsed="false">
      <c r="B17" s="47" t="s">
        <v>77</v>
      </c>
    </row>
    <row r="18" customFormat="false" ht="30" hidden="false" customHeight="true" outlineLevel="0" collapsed="false">
      <c r="B18" s="47" t="s">
        <v>78</v>
      </c>
    </row>
    <row r="19" customFormat="false" ht="7.5" hidden="false" customHeight="true" outlineLevel="0" collapsed="false"/>
    <row r="20" customFormat="false" ht="21.75" hidden="false" customHeight="true" outlineLevel="0" collapsed="false">
      <c r="B20" s="46" t="s">
        <v>79</v>
      </c>
    </row>
    <row r="21" customFormat="false" ht="30" hidden="false" customHeight="true" outlineLevel="0" collapsed="false">
      <c r="B21" s="47" t="s">
        <v>80</v>
      </c>
    </row>
    <row r="22" customFormat="false" ht="30" hidden="false" customHeight="true" outlineLevel="0" collapsed="false">
      <c r="B22" s="47" t="s">
        <v>81</v>
      </c>
    </row>
    <row r="23" customFormat="false" ht="30" hidden="false" customHeight="true" outlineLevel="0" collapsed="false">
      <c r="B23" s="47" t="s">
        <v>82</v>
      </c>
    </row>
    <row r="24" customFormat="false" ht="7.5" hidden="false" customHeight="true" outlineLevel="0" collapsed="false"/>
    <row r="25" customFormat="false" ht="21.75" hidden="false" customHeight="true" outlineLevel="0" collapsed="false">
      <c r="B25" s="46" t="s">
        <v>83</v>
      </c>
    </row>
    <row r="26" customFormat="false" ht="30" hidden="false" customHeight="true" outlineLevel="0" collapsed="false">
      <c r="B26" s="47" t="s">
        <v>84</v>
      </c>
    </row>
    <row r="27" customFormat="false" ht="30" hidden="false" customHeight="true" outlineLevel="0" collapsed="false">
      <c r="B27" s="47" t="s">
        <v>85</v>
      </c>
    </row>
    <row r="28" customFormat="false" ht="30" hidden="false" customHeight="true" outlineLevel="0" collapsed="false">
      <c r="B28" s="47" t="s">
        <v>86</v>
      </c>
    </row>
    <row r="29" customFormat="false" ht="30" hidden="false" customHeight="true" outlineLevel="0" collapsed="false">
      <c r="B29" s="47" t="s">
        <v>87</v>
      </c>
    </row>
    <row r="30" customFormat="false" ht="7.5" hidden="false" customHeight="true" outlineLevel="0" collapsed="false"/>
    <row r="31" customFormat="false" ht="21.75" hidden="false" customHeight="true" outlineLevel="0" collapsed="false">
      <c r="B31" s="46" t="s">
        <v>88</v>
      </c>
    </row>
    <row r="32" customFormat="false" ht="30" hidden="false" customHeight="true" outlineLevel="0" collapsed="false">
      <c r="B32" s="47" t="s">
        <v>89</v>
      </c>
    </row>
    <row r="33" customFormat="false" ht="30" hidden="false" customHeight="true" outlineLevel="0" collapsed="false">
      <c r="B33" s="47" t="s">
        <v>90</v>
      </c>
    </row>
    <row r="34" customFormat="false" ht="7.5" hidden="false" customHeight="true" outlineLevel="0" collapsed="false"/>
    <row r="35" customFormat="false" ht="21.75" hidden="false" customHeight="true" outlineLevel="0" collapsed="false">
      <c r="B35" s="46" t="s">
        <v>91</v>
      </c>
    </row>
    <row r="36" customFormat="false" ht="30" hidden="false" customHeight="true" outlineLevel="0" collapsed="false">
      <c r="B36" s="47" t="s">
        <v>92</v>
      </c>
    </row>
    <row r="37" customFormat="false" ht="30" hidden="false" customHeight="true" outlineLevel="0" collapsed="false">
      <c r="B37" s="47" t="s">
        <v>93</v>
      </c>
    </row>
    <row r="38" customFormat="false" ht="30" hidden="false" customHeight="true" outlineLevel="0" collapsed="false">
      <c r="B38" s="47" t="s">
        <v>94</v>
      </c>
    </row>
    <row r="39" customFormat="false" ht="30" hidden="false" customHeight="true" outlineLevel="0" collapsed="false">
      <c r="B39" s="47" t="s">
        <v>95</v>
      </c>
    </row>
    <row r="40" customFormat="false" ht="30" hidden="false" customHeight="true" outlineLevel="0" collapsed="false">
      <c r="B40" s="47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6" min="3" style="1" width="18"/>
  </cols>
  <sheetData>
    <row r="2" customFormat="false" ht="25.5" hidden="false" customHeight="true" outlineLevel="0" collapsed="false">
      <c r="B2" s="2" t="s">
        <v>97</v>
      </c>
      <c r="C2" s="2"/>
      <c r="D2" s="2"/>
      <c r="E2" s="2"/>
      <c r="F2" s="2"/>
    </row>
    <row r="3" customFormat="false" ht="15" hidden="false" customHeight="true" outlineLevel="0" collapsed="false">
      <c r="B3" s="4" t="s">
        <v>98</v>
      </c>
      <c r="C3" s="4"/>
      <c r="D3" s="4"/>
      <c r="E3" s="4"/>
      <c r="F3" s="4"/>
    </row>
    <row r="4" customFormat="false" ht="15" hidden="false" customHeight="true" outlineLevel="0" collapsed="false">
      <c r="B4" s="4"/>
      <c r="C4" s="4"/>
      <c r="D4" s="4"/>
      <c r="E4" s="4"/>
      <c r="F4" s="4"/>
    </row>
    <row r="6" customFormat="false" ht="15" hidden="false" customHeight="true" outlineLevel="0" collapsed="false">
      <c r="B6" s="48" t="s">
        <v>99</v>
      </c>
      <c r="C6" s="48"/>
      <c r="D6" s="48"/>
      <c r="E6" s="48"/>
      <c r="F6" s="48"/>
    </row>
    <row r="7" customFormat="false" ht="15" hidden="false" customHeight="true" outlineLevel="0" collapsed="false">
      <c r="B7" s="22" t="s">
        <v>34</v>
      </c>
      <c r="C7" s="49" t="n">
        <v>1000000</v>
      </c>
      <c r="D7" s="50" t="s">
        <v>100</v>
      </c>
      <c r="E7" s="50"/>
      <c r="F7" s="50"/>
    </row>
    <row r="8" customFormat="false" ht="15" hidden="false" customHeight="true" outlineLevel="0" collapsed="false">
      <c r="B8" s="22" t="s">
        <v>35</v>
      </c>
      <c r="C8" s="24" t="n">
        <v>180</v>
      </c>
      <c r="D8" s="50" t="s">
        <v>101</v>
      </c>
      <c r="E8" s="50"/>
      <c r="F8" s="50"/>
    </row>
    <row r="9" customFormat="false" ht="15" hidden="false" customHeight="true" outlineLevel="0" collapsed="false">
      <c r="B9" s="22" t="s">
        <v>102</v>
      </c>
      <c r="C9" s="26" t="n">
        <v>0.05879</v>
      </c>
      <c r="D9" s="50" t="s">
        <v>103</v>
      </c>
      <c r="E9" s="50"/>
      <c r="F9" s="50"/>
    </row>
    <row r="10" customFormat="false" ht="15" hidden="false" customHeight="true" outlineLevel="0" collapsed="false">
      <c r="B10" s="22" t="s">
        <v>104</v>
      </c>
      <c r="C10" s="24" t="n">
        <v>360</v>
      </c>
      <c r="D10" s="50" t="s">
        <v>105</v>
      </c>
      <c r="E10" s="50"/>
      <c r="F10" s="50"/>
    </row>
    <row r="11" customFormat="false" ht="15" hidden="false" customHeight="true" outlineLevel="0" collapsed="false">
      <c r="B11" s="22" t="s">
        <v>106</v>
      </c>
      <c r="C11" s="51" t="s">
        <v>107</v>
      </c>
      <c r="D11" s="50" t="s">
        <v>108</v>
      </c>
      <c r="E11" s="50"/>
      <c r="F11" s="50"/>
    </row>
    <row r="12" customFormat="false" ht="15" hidden="false" customHeight="true" outlineLevel="0" collapsed="false">
      <c r="B12" s="22" t="s">
        <v>109</v>
      </c>
      <c r="C12" s="25" t="n">
        <v>0.15</v>
      </c>
      <c r="D12" s="50" t="s">
        <v>110</v>
      </c>
      <c r="E12" s="50"/>
      <c r="F12" s="50"/>
    </row>
    <row r="13" customFormat="false" ht="15" hidden="false" customHeight="true" outlineLevel="0" collapsed="false">
      <c r="B13" s="22" t="s">
        <v>111</v>
      </c>
      <c r="C13" s="52" t="n">
        <v>0.0038</v>
      </c>
      <c r="D13" s="50" t="s">
        <v>112</v>
      </c>
      <c r="E13" s="50"/>
      <c r="F13" s="50"/>
    </row>
    <row r="14" customFormat="false" ht="15" hidden="false" customHeight="true" outlineLevel="0" collapsed="false">
      <c r="B14" s="22" t="s">
        <v>113</v>
      </c>
      <c r="C14" s="25" t="n">
        <v>0.3</v>
      </c>
      <c r="D14" s="50" t="s">
        <v>114</v>
      </c>
      <c r="E14" s="50"/>
      <c r="F14" s="50"/>
    </row>
    <row r="15" customFormat="false" ht="15" hidden="false" customHeight="true" outlineLevel="0" collapsed="false">
      <c r="B15" s="22" t="s">
        <v>115</v>
      </c>
      <c r="C15" s="26" t="n">
        <v>0.1475</v>
      </c>
      <c r="D15" s="50" t="s">
        <v>116</v>
      </c>
      <c r="E15" s="50"/>
      <c r="F15" s="50"/>
    </row>
    <row r="16" customFormat="false" ht="15" hidden="false" customHeight="true" outlineLevel="0" collapsed="false">
      <c r="B16" s="22" t="s">
        <v>117</v>
      </c>
      <c r="C16" s="26" t="n">
        <v>0</v>
      </c>
      <c r="D16" s="50" t="s">
        <v>118</v>
      </c>
      <c r="E16" s="50"/>
      <c r="F16" s="50"/>
    </row>
    <row r="17" customFormat="false" ht="15" hidden="false" customHeight="true" outlineLevel="0" collapsed="false">
      <c r="B17" s="22" t="s">
        <v>18</v>
      </c>
      <c r="C17" s="49" t="n">
        <v>1500</v>
      </c>
      <c r="D17" s="50" t="s">
        <v>119</v>
      </c>
      <c r="E17" s="50"/>
      <c r="F17" s="50"/>
    </row>
    <row r="19" customFormat="false" ht="15" hidden="false" customHeight="true" outlineLevel="0" collapsed="false">
      <c r="B19" s="48" t="s">
        <v>120</v>
      </c>
      <c r="C19" s="48"/>
      <c r="D19" s="48"/>
      <c r="E19" s="48"/>
      <c r="F19" s="48"/>
    </row>
    <row r="20" customFormat="false" ht="15" hidden="false" customHeight="true" outlineLevel="0" collapsed="false">
      <c r="B20" s="53" t="s">
        <v>121</v>
      </c>
      <c r="E20" s="54" t="n">
        <f aca="false">C7*C9*C8/C10</f>
        <v>29395</v>
      </c>
    </row>
    <row r="22" customFormat="false" ht="15" hidden="false" customHeight="true" outlineLevel="0" collapsed="false">
      <c r="B22" s="48" t="s">
        <v>122</v>
      </c>
      <c r="C22" s="48"/>
      <c r="D22" s="48"/>
      <c r="E22" s="48"/>
      <c r="F22" s="48"/>
    </row>
    <row r="23" customFormat="false" ht="15" hidden="false" customHeight="true" outlineLevel="0" collapsed="false">
      <c r="B23" s="7" t="s">
        <v>123</v>
      </c>
      <c r="E23" s="55" t="n">
        <f aca="false">E20</f>
        <v>29395</v>
      </c>
      <c r="F23" s="56" t="n">
        <f aca="false">E23/C7</f>
        <v>0.029395</v>
      </c>
    </row>
    <row r="24" customFormat="false" ht="15" hidden="false" customHeight="true" outlineLevel="0" collapsed="false">
      <c r="B24" s="7" t="s">
        <v>124</v>
      </c>
      <c r="E24" s="55" t="n">
        <f aca="false">E20*C12/(1-C12)</f>
        <v>5187.35294117647</v>
      </c>
      <c r="F24" s="56" t="n">
        <f aca="false">E24/C7</f>
        <v>0.00518735294117647</v>
      </c>
    </row>
    <row r="25" customFormat="false" ht="15" hidden="false" customHeight="true" outlineLevel="0" collapsed="false">
      <c r="B25" s="7" t="s">
        <v>125</v>
      </c>
      <c r="E25" s="55" t="n">
        <f aca="false">C7*C13+(C7+E20+E20*C12/(1-C12))*C13</f>
        <v>7731.41294117647</v>
      </c>
      <c r="F25" s="56" t="n">
        <f aca="false">E25/C7</f>
        <v>0.00773141294117647</v>
      </c>
    </row>
    <row r="26" customFormat="false" ht="15" hidden="false" customHeight="true" outlineLevel="0" collapsed="false">
      <c r="B26" s="7" t="s">
        <v>126</v>
      </c>
      <c r="E26" s="55" t="n">
        <f aca="false">C7*C14*(C15+C16)*C8/C10</f>
        <v>22125</v>
      </c>
      <c r="F26" s="56" t="n">
        <f aca="false">E26/C7</f>
        <v>0.022125</v>
      </c>
    </row>
    <row r="27" customFormat="false" ht="15" hidden="false" customHeight="true" outlineLevel="0" collapsed="false">
      <c r="B27" s="7" t="s">
        <v>127</v>
      </c>
      <c r="E27" s="55" t="n">
        <f aca="false">C17</f>
        <v>1500</v>
      </c>
      <c r="F27" s="56" t="n">
        <f aca="false">E27/C7</f>
        <v>0.0015</v>
      </c>
    </row>
    <row r="28" customFormat="false" ht="15" hidden="false" customHeight="true" outlineLevel="0" collapsed="false">
      <c r="B28" s="19" t="s">
        <v>128</v>
      </c>
      <c r="E28" s="14" t="n">
        <f aca="false">SUM(E23:E27)</f>
        <v>65938.765882353</v>
      </c>
      <c r="F28" s="57" t="n">
        <f aca="false">E28/C7</f>
        <v>0.065938765882353</v>
      </c>
    </row>
    <row r="29" customFormat="false" ht="15" hidden="false" customHeight="true" outlineLevel="0" collapsed="false">
      <c r="B29" s="15" t="s">
        <v>129</v>
      </c>
      <c r="E29" s="16" t="n">
        <f aca="false">E28/C7</f>
        <v>0.065938765882353</v>
      </c>
    </row>
    <row r="30" customFormat="false" ht="15" hidden="false" customHeight="true" outlineLevel="0" collapsed="false">
      <c r="B30" s="15" t="s">
        <v>130</v>
      </c>
      <c r="E30" s="16" t="n">
        <f aca="false">(1+E29)^(C10/C8)-1</f>
        <v>0.136225452610794</v>
      </c>
    </row>
    <row r="31" customFormat="false" ht="15" hidden="false" customHeight="true" outlineLevel="0" collapsed="false">
      <c r="B31" s="15" t="s">
        <v>22</v>
      </c>
      <c r="E31" s="16" t="n">
        <f aca="false">E29*C10/C8</f>
        <v>0.131877531764706</v>
      </c>
    </row>
  </sheetData>
  <mergeCells count="16">
    <mergeCell ref="B2:F2"/>
    <mergeCell ref="B3:F4"/>
    <mergeCell ref="B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B19:F19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6" min="3" style="1" width="18"/>
  </cols>
  <sheetData>
    <row r="2" customFormat="false" ht="25.5" hidden="false" customHeight="true" outlineLevel="0" collapsed="false">
      <c r="B2" s="2" t="s">
        <v>131</v>
      </c>
      <c r="C2" s="2"/>
      <c r="D2" s="2"/>
      <c r="E2" s="2"/>
      <c r="F2" s="2"/>
    </row>
    <row r="3" customFormat="false" ht="15" hidden="false" customHeight="true" outlineLevel="0" collapsed="false">
      <c r="B3" s="4" t="s">
        <v>132</v>
      </c>
      <c r="C3" s="4"/>
      <c r="D3" s="4"/>
      <c r="E3" s="4"/>
      <c r="F3" s="4"/>
    </row>
    <row r="4" customFormat="false" ht="15" hidden="false" customHeight="true" outlineLevel="0" collapsed="false">
      <c r="B4" s="4"/>
      <c r="C4" s="4"/>
      <c r="D4" s="4"/>
      <c r="E4" s="4"/>
      <c r="F4" s="4"/>
    </row>
    <row r="6" customFormat="false" ht="15" hidden="false" customHeight="true" outlineLevel="0" collapsed="false">
      <c r="B6" s="48" t="s">
        <v>99</v>
      </c>
      <c r="C6" s="48"/>
      <c r="D6" s="48"/>
      <c r="E6" s="48"/>
      <c r="F6" s="48"/>
    </row>
    <row r="7" customFormat="false" ht="15" hidden="false" customHeight="true" outlineLevel="0" collapsed="false">
      <c r="B7" s="22" t="s">
        <v>34</v>
      </c>
      <c r="C7" s="49" t="n">
        <v>1000000</v>
      </c>
      <c r="D7" s="50" t="s">
        <v>100</v>
      </c>
      <c r="E7" s="50"/>
      <c r="F7" s="50"/>
    </row>
    <row r="8" customFormat="false" ht="15" hidden="false" customHeight="true" outlineLevel="0" collapsed="false">
      <c r="B8" s="22" t="s">
        <v>35</v>
      </c>
      <c r="C8" s="24" t="n">
        <v>180</v>
      </c>
      <c r="D8" s="50" t="s">
        <v>101</v>
      </c>
      <c r="E8" s="50"/>
      <c r="F8" s="50"/>
    </row>
    <row r="9" customFormat="false" ht="15" hidden="false" customHeight="true" outlineLevel="0" collapsed="false">
      <c r="B9" s="22" t="s">
        <v>102</v>
      </c>
      <c r="C9" s="52" t="n">
        <v>0.048904</v>
      </c>
      <c r="D9" s="50" t="s">
        <v>133</v>
      </c>
      <c r="E9" s="50"/>
      <c r="F9" s="50"/>
    </row>
    <row r="10" customFormat="false" ht="15" hidden="false" customHeight="true" outlineLevel="0" collapsed="false">
      <c r="B10" s="22" t="s">
        <v>104</v>
      </c>
      <c r="C10" s="24" t="n">
        <v>360</v>
      </c>
      <c r="D10" s="50" t="s">
        <v>134</v>
      </c>
      <c r="E10" s="50"/>
      <c r="F10" s="50"/>
    </row>
    <row r="11" customFormat="false" ht="15" hidden="false" customHeight="true" outlineLevel="0" collapsed="false">
      <c r="B11" s="22" t="s">
        <v>106</v>
      </c>
      <c r="C11" s="51" t="s">
        <v>107</v>
      </c>
      <c r="D11" s="50" t="s">
        <v>135</v>
      </c>
      <c r="E11" s="50"/>
      <c r="F11" s="50"/>
    </row>
    <row r="12" customFormat="false" ht="15" hidden="false" customHeight="true" outlineLevel="0" collapsed="false">
      <c r="B12" s="22" t="s">
        <v>136</v>
      </c>
      <c r="C12" s="25" t="n">
        <v>0.25</v>
      </c>
      <c r="D12" s="50" t="s">
        <v>137</v>
      </c>
      <c r="E12" s="50"/>
      <c r="F12" s="50"/>
    </row>
    <row r="13" customFormat="false" ht="15" hidden="false" customHeight="true" outlineLevel="0" collapsed="false">
      <c r="B13" s="22" t="s">
        <v>138</v>
      </c>
      <c r="C13" s="52" t="n">
        <v>0.007749</v>
      </c>
      <c r="D13" s="50" t="s">
        <v>139</v>
      </c>
      <c r="E13" s="50"/>
      <c r="F13" s="50"/>
    </row>
    <row r="14" customFormat="false" ht="15" hidden="false" customHeight="true" outlineLevel="0" collapsed="false">
      <c r="B14" s="22" t="s">
        <v>111</v>
      </c>
      <c r="C14" s="52" t="n">
        <v>0.0038</v>
      </c>
      <c r="D14" s="50" t="s">
        <v>112</v>
      </c>
      <c r="E14" s="50"/>
      <c r="F14" s="50"/>
    </row>
    <row r="15" customFormat="false" ht="15" hidden="false" customHeight="true" outlineLevel="0" collapsed="false">
      <c r="B15" s="22" t="s">
        <v>113</v>
      </c>
      <c r="C15" s="25" t="n">
        <v>0.3</v>
      </c>
      <c r="D15" s="50" t="s">
        <v>140</v>
      </c>
      <c r="E15" s="50"/>
      <c r="F15" s="50"/>
    </row>
    <row r="16" customFormat="false" ht="15" hidden="false" customHeight="true" outlineLevel="0" collapsed="false">
      <c r="B16" s="22" t="s">
        <v>115</v>
      </c>
      <c r="C16" s="26" t="n">
        <v>0.1475</v>
      </c>
      <c r="D16" s="50" t="s">
        <v>141</v>
      </c>
      <c r="E16" s="50"/>
      <c r="F16" s="50"/>
    </row>
    <row r="17" customFormat="false" ht="15" hidden="false" customHeight="true" outlineLevel="0" collapsed="false">
      <c r="B17" s="22" t="s">
        <v>117</v>
      </c>
      <c r="C17" s="26" t="n">
        <v>0</v>
      </c>
      <c r="D17" s="50" t="s">
        <v>118</v>
      </c>
      <c r="E17" s="50"/>
      <c r="F17" s="50"/>
    </row>
    <row r="18" customFormat="false" ht="15" hidden="false" customHeight="true" outlineLevel="0" collapsed="false">
      <c r="B18" s="22" t="s">
        <v>142</v>
      </c>
      <c r="C18" s="49" t="n">
        <v>1500</v>
      </c>
      <c r="D18" s="50" t="s">
        <v>143</v>
      </c>
      <c r="E18" s="50"/>
      <c r="F18" s="50"/>
    </row>
    <row r="20" customFormat="false" ht="15" hidden="false" customHeight="true" outlineLevel="0" collapsed="false">
      <c r="B20" s="48" t="s">
        <v>144</v>
      </c>
      <c r="C20" s="48"/>
      <c r="D20" s="48"/>
      <c r="E20" s="48"/>
      <c r="F20" s="48"/>
    </row>
    <row r="21" customFormat="false" ht="15" hidden="false" customHeight="true" outlineLevel="0" collapsed="false">
      <c r="B21" s="53" t="s">
        <v>123</v>
      </c>
      <c r="E21" s="54" t="n">
        <f aca="false">C7*C9*C8/C10</f>
        <v>24452</v>
      </c>
    </row>
    <row r="22" customFormat="false" ht="15" hidden="false" customHeight="true" outlineLevel="0" collapsed="false">
      <c r="B22" s="53" t="s">
        <v>145</v>
      </c>
      <c r="E22" s="54" t="n">
        <f aca="false">C7*C13*C8/C10</f>
        <v>3874.5</v>
      </c>
    </row>
    <row r="24" customFormat="false" ht="15" hidden="false" customHeight="true" outlineLevel="0" collapsed="false">
      <c r="B24" s="48" t="s">
        <v>122</v>
      </c>
      <c r="C24" s="48"/>
      <c r="D24" s="48"/>
      <c r="E24" s="48"/>
      <c r="F24" s="48"/>
    </row>
    <row r="25" customFormat="false" ht="15" hidden="false" customHeight="true" outlineLevel="0" collapsed="false">
      <c r="B25" s="7" t="s">
        <v>123</v>
      </c>
      <c r="E25" s="55" t="n">
        <f aca="false">E21</f>
        <v>24452</v>
      </c>
      <c r="F25" s="56" t="n">
        <f aca="false">E25/C7</f>
        <v>0.024452</v>
      </c>
    </row>
    <row r="26" customFormat="false" ht="15" hidden="false" customHeight="true" outlineLevel="0" collapsed="false">
      <c r="B26" s="7" t="s">
        <v>146</v>
      </c>
      <c r="E26" s="55" t="n">
        <f aca="false">E21*C12/(1-C12)</f>
        <v>8150.66666666667</v>
      </c>
      <c r="F26" s="56" t="n">
        <f aca="false">E26/C7</f>
        <v>0.00815066666666667</v>
      </c>
    </row>
    <row r="27" customFormat="false" ht="15" hidden="false" customHeight="true" outlineLevel="0" collapsed="false">
      <c r="B27" s="7" t="s">
        <v>145</v>
      </c>
      <c r="E27" s="55" t="n">
        <f aca="false">E22</f>
        <v>3874.5</v>
      </c>
      <c r="F27" s="56" t="n">
        <f aca="false">E27/C7</f>
        <v>0.0038745</v>
      </c>
    </row>
    <row r="28" customFormat="false" ht="15" hidden="false" customHeight="true" outlineLevel="0" collapsed="false">
      <c r="B28" s="7" t="s">
        <v>125</v>
      </c>
      <c r="E28" s="55" t="n">
        <f aca="false">C7*C14+(C7+E21+E21*C12/(1-C12)+E22)*C14</f>
        <v>7738.61323333333</v>
      </c>
      <c r="F28" s="56" t="n">
        <f aca="false">E28/C7</f>
        <v>0.00773861323333333</v>
      </c>
    </row>
    <row r="29" customFormat="false" ht="15" hidden="false" customHeight="true" outlineLevel="0" collapsed="false">
      <c r="B29" s="7" t="s">
        <v>126</v>
      </c>
      <c r="E29" s="55" t="n">
        <f aca="false">C7*C15*(C16+C17)*C8/C10</f>
        <v>22125</v>
      </c>
      <c r="F29" s="56" t="n">
        <f aca="false">E29/C7</f>
        <v>0.022125</v>
      </c>
    </row>
    <row r="30" customFormat="false" ht="15" hidden="false" customHeight="true" outlineLevel="0" collapsed="false">
      <c r="B30" s="7" t="s">
        <v>147</v>
      </c>
      <c r="E30" s="55" t="n">
        <f aca="false">C18</f>
        <v>1500</v>
      </c>
      <c r="F30" s="56" t="n">
        <f aca="false">E30/C7</f>
        <v>0.0015</v>
      </c>
    </row>
    <row r="31" customFormat="false" ht="15" hidden="false" customHeight="true" outlineLevel="0" collapsed="false">
      <c r="B31" s="19" t="s">
        <v>128</v>
      </c>
      <c r="E31" s="14" t="n">
        <f aca="false">SUM(E25:E30)</f>
        <v>67840.7799</v>
      </c>
      <c r="F31" s="57" t="n">
        <f aca="false">E31/C7</f>
        <v>0.0678407799</v>
      </c>
    </row>
    <row r="32" customFormat="false" ht="15" hidden="false" customHeight="true" outlineLevel="0" collapsed="false">
      <c r="B32" s="15" t="s">
        <v>129</v>
      </c>
      <c r="E32" s="16" t="n">
        <f aca="false">E31/C7</f>
        <v>0.0678407799</v>
      </c>
    </row>
    <row r="33" customFormat="false" ht="15" hidden="false" customHeight="true" outlineLevel="0" collapsed="false">
      <c r="B33" s="15" t="s">
        <v>24</v>
      </c>
      <c r="E33" s="16" t="n">
        <f aca="false">(1+E32)^(C10/C8)-1</f>
        <v>0.14028393121744</v>
      </c>
    </row>
    <row r="34" customFormat="false" ht="15" hidden="false" customHeight="true" outlineLevel="0" collapsed="false">
      <c r="B34" s="15" t="s">
        <v>22</v>
      </c>
      <c r="E34" s="16" t="n">
        <f aca="false">E32*C10/C8</f>
        <v>0.1356815598</v>
      </c>
    </row>
  </sheetData>
  <mergeCells count="17">
    <mergeCell ref="B2:F2"/>
    <mergeCell ref="B3:F4"/>
    <mergeCell ref="B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B20:F20"/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6" min="3" style="1" width="18"/>
  </cols>
  <sheetData>
    <row r="2" customFormat="false" ht="25.5" hidden="false" customHeight="true" outlineLevel="0" collapsed="false">
      <c r="B2" s="2" t="s">
        <v>148</v>
      </c>
      <c r="C2" s="2"/>
      <c r="D2" s="2"/>
      <c r="E2" s="2"/>
      <c r="F2" s="2"/>
    </row>
    <row r="3" customFormat="false" ht="15" hidden="false" customHeight="true" outlineLevel="0" collapsed="false">
      <c r="B3" s="4" t="s">
        <v>149</v>
      </c>
      <c r="C3" s="4"/>
      <c r="D3" s="4"/>
      <c r="E3" s="4"/>
      <c r="F3" s="4"/>
    </row>
    <row r="4" customFormat="false" ht="15" hidden="false" customHeight="true" outlineLevel="0" collapsed="false">
      <c r="B4" s="4"/>
      <c r="C4" s="4"/>
      <c r="D4" s="4"/>
      <c r="E4" s="4"/>
      <c r="F4" s="4"/>
    </row>
    <row r="6" customFormat="false" ht="15" hidden="false" customHeight="true" outlineLevel="0" collapsed="false">
      <c r="B6" s="48" t="s">
        <v>99</v>
      </c>
      <c r="C6" s="48"/>
      <c r="D6" s="48"/>
      <c r="E6" s="48"/>
      <c r="F6" s="48"/>
    </row>
    <row r="7" customFormat="false" ht="15" hidden="false" customHeight="true" outlineLevel="0" collapsed="false">
      <c r="B7" s="22" t="s">
        <v>34</v>
      </c>
      <c r="C7" s="49" t="n">
        <v>1000000</v>
      </c>
      <c r="D7" s="50" t="s">
        <v>100</v>
      </c>
      <c r="E7" s="50"/>
      <c r="F7" s="50"/>
    </row>
    <row r="8" customFormat="false" ht="15" hidden="false" customHeight="true" outlineLevel="0" collapsed="false">
      <c r="B8" s="22" t="s">
        <v>35</v>
      </c>
      <c r="C8" s="24" t="n">
        <v>180</v>
      </c>
      <c r="D8" s="50" t="s">
        <v>150</v>
      </c>
      <c r="E8" s="50"/>
      <c r="F8" s="50"/>
    </row>
    <row r="9" customFormat="false" ht="15" hidden="false" customHeight="true" outlineLevel="0" collapsed="false">
      <c r="B9" s="22" t="s">
        <v>102</v>
      </c>
      <c r="C9" s="26" t="n">
        <v>0.0608</v>
      </c>
      <c r="D9" s="50" t="s">
        <v>151</v>
      </c>
      <c r="E9" s="50"/>
      <c r="F9" s="50"/>
    </row>
    <row r="10" customFormat="false" ht="15" hidden="false" customHeight="true" outlineLevel="0" collapsed="false">
      <c r="B10" s="22" t="s">
        <v>104</v>
      </c>
      <c r="C10" s="24" t="n">
        <v>360</v>
      </c>
      <c r="D10" s="50" t="s">
        <v>152</v>
      </c>
      <c r="E10" s="50"/>
      <c r="F10" s="50"/>
    </row>
    <row r="11" customFormat="false" ht="15" hidden="false" customHeight="true" outlineLevel="0" collapsed="false">
      <c r="B11" s="22" t="s">
        <v>106</v>
      </c>
      <c r="C11" s="51" t="s">
        <v>107</v>
      </c>
      <c r="D11" s="50" t="s">
        <v>153</v>
      </c>
      <c r="E11" s="50"/>
      <c r="F11" s="50"/>
    </row>
    <row r="12" customFormat="false" ht="15" hidden="false" customHeight="true" outlineLevel="0" collapsed="false">
      <c r="B12" s="22" t="s">
        <v>154</v>
      </c>
      <c r="C12" s="25" t="n">
        <v>0.25</v>
      </c>
      <c r="D12" s="50" t="s">
        <v>155</v>
      </c>
      <c r="E12" s="50"/>
      <c r="F12" s="50"/>
    </row>
    <row r="13" customFormat="false" ht="23.25" hidden="false" customHeight="true" outlineLevel="0" collapsed="false">
      <c r="B13" s="22" t="s">
        <v>156</v>
      </c>
      <c r="C13" s="26" t="n">
        <v>0.004</v>
      </c>
      <c r="D13" s="50" t="s">
        <v>157</v>
      </c>
      <c r="E13" s="50"/>
      <c r="F13" s="50"/>
    </row>
    <row r="14" customFormat="false" ht="15" hidden="false" customHeight="true" outlineLevel="0" collapsed="false">
      <c r="B14" s="22" t="s">
        <v>111</v>
      </c>
      <c r="C14" s="52" t="n">
        <v>0.0038</v>
      </c>
      <c r="D14" s="50" t="s">
        <v>158</v>
      </c>
      <c r="E14" s="50"/>
      <c r="F14" s="50"/>
    </row>
    <row r="15" customFormat="false" ht="15" hidden="false" customHeight="true" outlineLevel="0" collapsed="false">
      <c r="B15" s="22" t="s">
        <v>113</v>
      </c>
      <c r="C15" s="25" t="n">
        <v>0.3</v>
      </c>
      <c r="D15" s="50" t="s">
        <v>159</v>
      </c>
      <c r="E15" s="50"/>
      <c r="F15" s="50"/>
    </row>
    <row r="16" customFormat="false" ht="15" hidden="false" customHeight="true" outlineLevel="0" collapsed="false">
      <c r="B16" s="22" t="s">
        <v>115</v>
      </c>
      <c r="C16" s="26" t="n">
        <v>0.1475</v>
      </c>
      <c r="D16" s="50" t="s">
        <v>116</v>
      </c>
      <c r="E16" s="50"/>
      <c r="F16" s="50"/>
    </row>
    <row r="17" customFormat="false" ht="15" hidden="false" customHeight="true" outlineLevel="0" collapsed="false">
      <c r="B17" s="22" t="s">
        <v>117</v>
      </c>
      <c r="C17" s="26" t="n">
        <v>0</v>
      </c>
      <c r="D17" s="50" t="s">
        <v>118</v>
      </c>
      <c r="E17" s="50"/>
      <c r="F17" s="50"/>
    </row>
    <row r="18" customFormat="false" ht="15" hidden="false" customHeight="true" outlineLevel="0" collapsed="false">
      <c r="B18" s="22" t="s">
        <v>160</v>
      </c>
      <c r="C18" s="49" t="n">
        <v>2500</v>
      </c>
      <c r="D18" s="50" t="s">
        <v>161</v>
      </c>
      <c r="E18" s="50"/>
      <c r="F18" s="50"/>
    </row>
    <row r="20" customFormat="false" ht="15" hidden="false" customHeight="true" outlineLevel="0" collapsed="false">
      <c r="B20" s="48" t="s">
        <v>144</v>
      </c>
      <c r="C20" s="48"/>
      <c r="D20" s="48"/>
      <c r="E20" s="48"/>
      <c r="F20" s="48"/>
    </row>
    <row r="21" customFormat="false" ht="15" hidden="false" customHeight="true" outlineLevel="0" collapsed="false">
      <c r="B21" s="53" t="s">
        <v>123</v>
      </c>
      <c r="E21" s="54" t="n">
        <f aca="false">C7*C9*C8/C10</f>
        <v>30400</v>
      </c>
    </row>
    <row r="22" customFormat="false" ht="15" hidden="false" customHeight="true" outlineLevel="0" collapsed="false">
      <c r="B22" s="53" t="s">
        <v>162</v>
      </c>
      <c r="E22" s="54" t="n">
        <f aca="false">C7*C13*C8/C10</f>
        <v>2000</v>
      </c>
    </row>
    <row r="24" customFormat="false" ht="15" hidden="false" customHeight="true" outlineLevel="0" collapsed="false">
      <c r="B24" s="48" t="s">
        <v>122</v>
      </c>
      <c r="C24" s="48"/>
      <c r="D24" s="48"/>
      <c r="E24" s="48"/>
      <c r="F24" s="48"/>
    </row>
    <row r="25" customFormat="false" ht="15" hidden="false" customHeight="true" outlineLevel="0" collapsed="false">
      <c r="B25" s="7" t="s">
        <v>163</v>
      </c>
      <c r="E25" s="55" t="n">
        <f aca="false">E21</f>
        <v>30400</v>
      </c>
      <c r="F25" s="56" t="n">
        <f aca="false">E25/C7</f>
        <v>0.0304</v>
      </c>
    </row>
    <row r="26" customFormat="false" ht="15" hidden="false" customHeight="true" outlineLevel="0" collapsed="false">
      <c r="B26" s="7" t="s">
        <v>146</v>
      </c>
      <c r="E26" s="55" t="n">
        <f aca="false">E21*C12/(1-C12)</f>
        <v>10133.3333333333</v>
      </c>
      <c r="F26" s="56" t="n">
        <f aca="false">E26/C7</f>
        <v>0.0101333333333333</v>
      </c>
    </row>
    <row r="27" customFormat="false" ht="15" hidden="false" customHeight="true" outlineLevel="0" collapsed="false">
      <c r="B27" s="7" t="s">
        <v>164</v>
      </c>
      <c r="E27" s="55" t="n">
        <f aca="false">E22</f>
        <v>2000</v>
      </c>
      <c r="F27" s="56" t="n">
        <f aca="false">E27/C7</f>
        <v>0.002</v>
      </c>
    </row>
    <row r="28" customFormat="false" ht="15" hidden="false" customHeight="true" outlineLevel="0" collapsed="false">
      <c r="B28" s="7" t="s">
        <v>125</v>
      </c>
      <c r="E28" s="55" t="n">
        <f aca="false">C7*C14+(C7+E21+E21*C12/(1-C12))*C14</f>
        <v>7754.02666666667</v>
      </c>
      <c r="F28" s="56" t="n">
        <f aca="false">E28/C7</f>
        <v>0.00775402666666667</v>
      </c>
    </row>
    <row r="29" customFormat="false" ht="15" hidden="false" customHeight="true" outlineLevel="0" collapsed="false">
      <c r="B29" s="7" t="s">
        <v>126</v>
      </c>
      <c r="E29" s="55" t="n">
        <f aca="false">C7*C15*(C16+C17)*C8/C10</f>
        <v>22125</v>
      </c>
      <c r="F29" s="56" t="n">
        <f aca="false">E29/C7</f>
        <v>0.022125</v>
      </c>
    </row>
    <row r="30" customFormat="false" ht="15" hidden="false" customHeight="true" outlineLevel="0" collapsed="false">
      <c r="B30" s="7" t="s">
        <v>160</v>
      </c>
      <c r="E30" s="55" t="n">
        <f aca="false">C18</f>
        <v>2500</v>
      </c>
      <c r="F30" s="56" t="n">
        <f aca="false">E30/C7</f>
        <v>0.0025</v>
      </c>
    </row>
    <row r="31" customFormat="false" ht="15" hidden="false" customHeight="true" outlineLevel="0" collapsed="false">
      <c r="B31" s="19" t="s">
        <v>128</v>
      </c>
      <c r="E31" s="14" t="n">
        <f aca="false">SUM(E25:E30)</f>
        <v>74912.36</v>
      </c>
      <c r="F31" s="57" t="n">
        <f aca="false">E31/C7</f>
        <v>0.07491236</v>
      </c>
    </row>
    <row r="32" customFormat="false" ht="15" hidden="false" customHeight="true" outlineLevel="0" collapsed="false">
      <c r="B32" s="15" t="s">
        <v>129</v>
      </c>
      <c r="E32" s="16" t="n">
        <f aca="false">E31/C7</f>
        <v>0.07491236</v>
      </c>
    </row>
    <row r="33" customFormat="false" ht="15" hidden="false" customHeight="true" outlineLevel="0" collapsed="false">
      <c r="B33" s="15" t="s">
        <v>24</v>
      </c>
      <c r="E33" s="16" t="n">
        <f aca="false">(1+E32)^(C10/C8)-1</f>
        <v>0.155436581680769</v>
      </c>
    </row>
    <row r="34" customFormat="false" ht="15" hidden="false" customHeight="true" outlineLevel="0" collapsed="false">
      <c r="B34" s="15" t="s">
        <v>22</v>
      </c>
      <c r="E34" s="16" t="n">
        <f aca="false">E32*C10/C8</f>
        <v>0.14982472</v>
      </c>
    </row>
  </sheetData>
  <mergeCells count="17">
    <mergeCell ref="B2:F2"/>
    <mergeCell ref="B3:F4"/>
    <mergeCell ref="B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B20:F20"/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50"/>
    <col collapsed="false" customWidth="true" hidden="false" outlineLevel="0" max="5" min="3" style="1" width="18"/>
    <col collapsed="false" customWidth="true" hidden="false" outlineLevel="0" max="6" min="6" style="1" width="36"/>
  </cols>
  <sheetData>
    <row r="2" customFormat="false" ht="27.75" hidden="false" customHeight="true" outlineLevel="0" collapsed="false">
      <c r="B2" s="2" t="s">
        <v>165</v>
      </c>
      <c r="C2" s="2"/>
      <c r="D2" s="2"/>
      <c r="E2" s="2"/>
      <c r="F2" s="2"/>
    </row>
    <row r="3" customFormat="false" ht="15" hidden="false" customHeight="true" outlineLevel="0" collapsed="false">
      <c r="B3" s="20" t="s">
        <v>166</v>
      </c>
      <c r="C3" s="20"/>
      <c r="D3" s="20"/>
      <c r="E3" s="20"/>
      <c r="F3" s="20"/>
    </row>
    <row r="4" customFormat="false" ht="15" hidden="false" customHeight="true" outlineLevel="0" collapsed="false">
      <c r="B4" s="20"/>
      <c r="C4" s="20"/>
      <c r="D4" s="20"/>
      <c r="E4" s="20"/>
      <c r="F4" s="20"/>
    </row>
    <row r="6" customFormat="false" ht="15" hidden="false" customHeight="true" outlineLevel="0" collapsed="false">
      <c r="B6" s="48" t="s">
        <v>167</v>
      </c>
      <c r="C6" s="48"/>
      <c r="D6" s="48"/>
      <c r="E6" s="48"/>
      <c r="F6" s="48"/>
    </row>
    <row r="7" customFormat="false" ht="26.25" hidden="false" customHeight="true" outlineLevel="0" collapsed="false">
      <c r="B7" s="5" t="s">
        <v>3</v>
      </c>
      <c r="C7" s="5" t="s">
        <v>168</v>
      </c>
      <c r="D7" s="5" t="s">
        <v>169</v>
      </c>
      <c r="E7" s="5" t="s">
        <v>170</v>
      </c>
      <c r="F7" s="5" t="s">
        <v>171</v>
      </c>
      <c r="G7" s="5" t="s">
        <v>172</v>
      </c>
    </row>
    <row r="8" customFormat="false" ht="15" hidden="false" customHeight="true" outlineLevel="0" collapsed="false">
      <c r="B8" s="7" t="s">
        <v>173</v>
      </c>
      <c r="C8" s="58" t="n">
        <v>29395</v>
      </c>
      <c r="D8" s="59" t="n">
        <f aca="false">C8/1000000</f>
        <v>0.029395</v>
      </c>
      <c r="E8" s="59" t="n">
        <f aca="false">D8*360/180</f>
        <v>0.05879</v>
      </c>
      <c r="F8" s="59" t="n">
        <f aca="false">(1+D8)^(360/180)-1</f>
        <v>0.0596540660250002</v>
      </c>
    </row>
    <row r="9" customFormat="false" ht="15" hidden="false" customHeight="true" outlineLevel="0" collapsed="false">
      <c r="B9" s="7" t="s">
        <v>124</v>
      </c>
      <c r="C9" s="58" t="n">
        <v>5187.35</v>
      </c>
      <c r="D9" s="59" t="n">
        <f aca="false">C9/1000000</f>
        <v>0.00518735</v>
      </c>
      <c r="E9" s="59" t="n">
        <f aca="false">D9*360/180</f>
        <v>0.0103747</v>
      </c>
      <c r="F9" s="59" t="n">
        <f aca="false">(1+D9)^(360/180)-1</f>
        <v>0.0104016086000223</v>
      </c>
    </row>
    <row r="10" customFormat="false" ht="15" hidden="false" customHeight="true" outlineLevel="0" collapsed="false">
      <c r="B10" s="7" t="s">
        <v>174</v>
      </c>
      <c r="C10" s="58" t="n">
        <v>7731.41</v>
      </c>
      <c r="D10" s="59" t="n">
        <f aca="false">C10/1000000</f>
        <v>0.00773141</v>
      </c>
      <c r="E10" s="59" t="n">
        <f aca="false">D10*360/180</f>
        <v>0.01546282</v>
      </c>
      <c r="F10" s="59" t="n">
        <f aca="false">(1+D10)^(360/180)-1</f>
        <v>0.0155225947005884</v>
      </c>
    </row>
    <row r="11" customFormat="false" ht="15" hidden="false" customHeight="true" outlineLevel="0" collapsed="false">
      <c r="B11" s="7" t="s">
        <v>175</v>
      </c>
      <c r="C11" s="58" t="n">
        <v>15375</v>
      </c>
      <c r="D11" s="59" t="n">
        <f aca="false">C11/1000000</f>
        <v>0.015375</v>
      </c>
      <c r="E11" s="59" t="n">
        <f aca="false">D11*360/180</f>
        <v>0.03075</v>
      </c>
      <c r="F11" s="59" t="n">
        <f aca="false">(1+D11)^(360/180)-1</f>
        <v>0.0309863906249999</v>
      </c>
    </row>
    <row r="12" customFormat="false" ht="15" hidden="false" customHeight="true" outlineLevel="0" collapsed="false">
      <c r="B12" s="7" t="s">
        <v>18</v>
      </c>
      <c r="C12" s="58" t="n">
        <v>1500</v>
      </c>
      <c r="D12" s="59" t="n">
        <f aca="false">C12/1000000</f>
        <v>0.0015</v>
      </c>
      <c r="E12" s="59" t="n">
        <f aca="false">D12*360/180</f>
        <v>0.003</v>
      </c>
      <c r="F12" s="59" t="n">
        <f aca="false">(1+D12)^(360/180)-1</f>
        <v>0.00300225000000021</v>
      </c>
    </row>
    <row r="13" customFormat="false" ht="15" hidden="false" customHeight="true" outlineLevel="0" collapsed="false">
      <c r="B13" s="19" t="s">
        <v>176</v>
      </c>
      <c r="C13" s="14" t="n">
        <f aca="false">SUM(C8:C12)</f>
        <v>59188.76</v>
      </c>
      <c r="D13" s="57" t="n">
        <f aca="false">C13/1000000</f>
        <v>0.05918876</v>
      </c>
      <c r="E13" s="57" t="n">
        <f aca="false">D13*360/180</f>
        <v>0.11837752</v>
      </c>
      <c r="F13" s="57" t="n">
        <f aca="false">(1+D13)^(360/180)-1</f>
        <v>0.121880829310338</v>
      </c>
    </row>
    <row r="16" customFormat="false" ht="15" hidden="false" customHeight="true" outlineLevel="0" collapsed="false">
      <c r="B16" s="48" t="s">
        <v>177</v>
      </c>
      <c r="C16" s="48"/>
      <c r="D16" s="48"/>
      <c r="E16" s="48"/>
      <c r="F16" s="48"/>
    </row>
    <row r="17" customFormat="false" ht="18" hidden="false" customHeight="true" outlineLevel="0" collapsed="false">
      <c r="B17" s="60" t="s">
        <v>178</v>
      </c>
      <c r="C17" s="60"/>
      <c r="D17" s="60"/>
      <c r="E17" s="60"/>
      <c r="F17" s="60"/>
    </row>
    <row r="18" customFormat="false" ht="18" hidden="false" customHeight="true" outlineLevel="0" collapsed="false">
      <c r="B18" s="60"/>
      <c r="C18" s="60"/>
      <c r="D18" s="60"/>
      <c r="E18" s="60"/>
      <c r="F18" s="60"/>
    </row>
    <row r="19" customFormat="false" ht="18" hidden="false" customHeight="true" outlineLevel="0" collapsed="false">
      <c r="B19" s="61" t="s">
        <v>179</v>
      </c>
      <c r="C19" s="61"/>
      <c r="D19" s="61"/>
      <c r="E19" s="61"/>
      <c r="F19" s="61"/>
    </row>
    <row r="20" customFormat="false" ht="18" hidden="false" customHeight="true" outlineLevel="0" collapsed="false">
      <c r="B20" s="61" t="s">
        <v>180</v>
      </c>
      <c r="C20" s="61"/>
      <c r="D20" s="61"/>
      <c r="E20" s="61"/>
      <c r="F20" s="61"/>
    </row>
    <row r="21" customFormat="false" ht="18" hidden="false" customHeight="true" outlineLevel="0" collapsed="false">
      <c r="B21" s="60"/>
      <c r="C21" s="60"/>
      <c r="D21" s="60"/>
      <c r="E21" s="60"/>
      <c r="F21" s="60"/>
    </row>
    <row r="22" customFormat="false" ht="18" hidden="false" customHeight="true" outlineLevel="0" collapsed="false">
      <c r="B22" s="60" t="s">
        <v>181</v>
      </c>
      <c r="C22" s="60"/>
      <c r="D22" s="60"/>
      <c r="E22" s="60"/>
      <c r="F22" s="60"/>
    </row>
    <row r="23" customFormat="false" ht="18" hidden="false" customHeight="true" outlineLevel="0" collapsed="false">
      <c r="B23" s="60"/>
      <c r="C23" s="60"/>
      <c r="D23" s="60"/>
      <c r="E23" s="60"/>
      <c r="F23" s="60"/>
    </row>
    <row r="24" customFormat="false" ht="18" hidden="false" customHeight="true" outlineLevel="0" collapsed="false">
      <c r="B24" s="60" t="s">
        <v>182</v>
      </c>
      <c r="C24" s="60"/>
      <c r="D24" s="60"/>
      <c r="E24" s="60"/>
      <c r="F24" s="60"/>
    </row>
    <row r="25" customFormat="false" ht="18" hidden="false" customHeight="true" outlineLevel="0" collapsed="false">
      <c r="B25" s="60"/>
      <c r="C25" s="60"/>
      <c r="D25" s="60"/>
      <c r="E25" s="60"/>
      <c r="F25" s="60"/>
    </row>
    <row r="26" customFormat="false" ht="18" hidden="false" customHeight="true" outlineLevel="0" collapsed="false">
      <c r="B26" s="60" t="s">
        <v>183</v>
      </c>
      <c r="C26" s="60"/>
      <c r="D26" s="60"/>
      <c r="E26" s="60"/>
      <c r="F26" s="60"/>
    </row>
    <row r="27" customFormat="false" ht="18" hidden="false" customHeight="true" outlineLevel="0" collapsed="false">
      <c r="B27" s="60"/>
      <c r="C27" s="60"/>
      <c r="D27" s="60"/>
      <c r="E27" s="60"/>
      <c r="F27" s="60"/>
    </row>
    <row r="28" customFormat="false" ht="18" hidden="false" customHeight="true" outlineLevel="0" collapsed="false">
      <c r="B28" s="61" t="s">
        <v>184</v>
      </c>
      <c r="C28" s="61"/>
      <c r="D28" s="61"/>
      <c r="E28" s="61"/>
      <c r="F28" s="61"/>
    </row>
    <row r="29" customFormat="false" ht="18" hidden="false" customHeight="true" outlineLevel="0" collapsed="false">
      <c r="B29" s="61" t="s">
        <v>185</v>
      </c>
      <c r="C29" s="61"/>
      <c r="D29" s="61"/>
      <c r="E29" s="61"/>
      <c r="F29" s="61"/>
    </row>
    <row r="30" customFormat="false" ht="18" hidden="false" customHeight="true" outlineLevel="0" collapsed="false">
      <c r="B30" s="61" t="s">
        <v>186</v>
      </c>
      <c r="C30" s="61"/>
      <c r="D30" s="61"/>
      <c r="E30" s="61"/>
      <c r="F30" s="61"/>
    </row>
    <row r="31" customFormat="false" ht="18" hidden="false" customHeight="true" outlineLevel="0" collapsed="false">
      <c r="B31" s="61" t="s">
        <v>187</v>
      </c>
      <c r="C31" s="61"/>
      <c r="D31" s="61"/>
      <c r="E31" s="61"/>
      <c r="F31" s="61"/>
    </row>
    <row r="32" customFormat="false" ht="18" hidden="false" customHeight="true" outlineLevel="0" collapsed="false">
      <c r="B32" s="61" t="s">
        <v>188</v>
      </c>
      <c r="C32" s="61"/>
      <c r="D32" s="61"/>
      <c r="E32" s="61"/>
      <c r="F32" s="61"/>
    </row>
    <row r="33" customFormat="false" ht="18" hidden="false" customHeight="true" outlineLevel="0" collapsed="false">
      <c r="B33" s="61" t="s">
        <v>189</v>
      </c>
      <c r="C33" s="61"/>
      <c r="D33" s="61"/>
      <c r="E33" s="61"/>
      <c r="F33" s="61"/>
    </row>
    <row r="34" customFormat="false" ht="18" hidden="false" customHeight="true" outlineLevel="0" collapsed="false">
      <c r="B34" s="60"/>
      <c r="C34" s="60"/>
      <c r="D34" s="60"/>
      <c r="E34" s="60"/>
      <c r="F34" s="60"/>
    </row>
    <row r="35" customFormat="false" ht="18" hidden="false" customHeight="true" outlineLevel="0" collapsed="false">
      <c r="B35" s="61" t="s">
        <v>190</v>
      </c>
      <c r="C35" s="61"/>
      <c r="D35" s="61"/>
      <c r="E35" s="61"/>
      <c r="F35" s="61"/>
    </row>
    <row r="36" customFormat="false" ht="18" hidden="false" customHeight="true" outlineLevel="0" collapsed="false">
      <c r="B36" s="60"/>
      <c r="C36" s="60"/>
      <c r="D36" s="60"/>
      <c r="E36" s="60"/>
      <c r="F36" s="60"/>
    </row>
    <row r="37" customFormat="false" ht="18" hidden="false" customHeight="true" outlineLevel="0" collapsed="false">
      <c r="B37" s="60" t="s">
        <v>191</v>
      </c>
      <c r="C37" s="60"/>
      <c r="D37" s="60"/>
      <c r="E37" s="60"/>
      <c r="F37" s="60"/>
    </row>
    <row r="38" customFormat="false" ht="18" hidden="false" customHeight="true" outlineLevel="0" collapsed="false">
      <c r="B38" s="60"/>
      <c r="C38" s="60"/>
      <c r="D38" s="60"/>
      <c r="E38" s="60"/>
      <c r="F38" s="60"/>
    </row>
    <row r="39" customFormat="false" ht="18" hidden="false" customHeight="true" outlineLevel="0" collapsed="false">
      <c r="B39" s="61" t="s">
        <v>192</v>
      </c>
      <c r="C39" s="61"/>
      <c r="D39" s="61"/>
      <c r="E39" s="61"/>
      <c r="F39" s="61"/>
    </row>
    <row r="40" customFormat="false" ht="18" hidden="false" customHeight="true" outlineLevel="0" collapsed="false">
      <c r="B40" s="60"/>
      <c r="C40" s="60"/>
      <c r="D40" s="60"/>
      <c r="E40" s="60"/>
      <c r="F40" s="60"/>
    </row>
    <row r="41" customFormat="false" ht="18" hidden="false" customHeight="true" outlineLevel="0" collapsed="false">
      <c r="B41" s="60" t="s">
        <v>193</v>
      </c>
      <c r="C41" s="60"/>
      <c r="D41" s="60"/>
      <c r="E41" s="60"/>
      <c r="F41" s="60"/>
    </row>
    <row r="42" customFormat="false" ht="18" hidden="false" customHeight="true" outlineLevel="0" collapsed="false">
      <c r="B42" s="60"/>
      <c r="C42" s="60"/>
      <c r="D42" s="60"/>
      <c r="E42" s="60"/>
      <c r="F42" s="60"/>
    </row>
    <row r="43" customFormat="false" ht="18" hidden="false" customHeight="true" outlineLevel="0" collapsed="false">
      <c r="B43" s="61" t="s">
        <v>194</v>
      </c>
      <c r="C43" s="61"/>
      <c r="D43" s="61"/>
      <c r="E43" s="61"/>
      <c r="F43" s="61"/>
    </row>
  </sheetData>
  <mergeCells count="31">
    <mergeCell ref="B2:F2"/>
    <mergeCell ref="B3:F4"/>
    <mergeCell ref="B6:F6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2026-04-30T16:33:54Z</dcterms:created>
  <dc:creator>openpyxl</dc:creator>
  <dc:description/>
  <dc:language>en-US</dc:language>
  <cp:lastModifiedBy/>
  <dcterms:modified xsi:type="dcterms:W3CDTF">2026-04-30T17:42:59Z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